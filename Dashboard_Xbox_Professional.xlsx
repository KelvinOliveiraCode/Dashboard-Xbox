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2DFA0CF7-7C47-499E-9A98-152D523A9842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Parâmetros" sheetId="1" r:id="rId1"/>
    <sheet name="Base de Dados" sheetId="2" r:id="rId2"/>
    <sheet name="Cálculos" sheetId="3" r:id="rId3"/>
    <sheet name="Dashboard" sheetId="4" r:id="rId4"/>
    <sheet name="Instruçõ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Q1201" i="2"/>
  <c r="O1201" i="2"/>
  <c r="N1201" i="2"/>
  <c r="M1201" i="2"/>
  <c r="L1201" i="2"/>
  <c r="P1201" i="2" s="1"/>
  <c r="R1201" i="2" s="1"/>
  <c r="Q1200" i="2"/>
  <c r="O1200" i="2"/>
  <c r="N1200" i="2"/>
  <c r="M1200" i="2"/>
  <c r="L1200" i="2"/>
  <c r="P1200" i="2" s="1"/>
  <c r="R1200" i="2" s="1"/>
  <c r="Q1199" i="2"/>
  <c r="O1199" i="2"/>
  <c r="N1199" i="2"/>
  <c r="M1199" i="2"/>
  <c r="L1199" i="2"/>
  <c r="P1199" i="2" s="1"/>
  <c r="R1199" i="2" s="1"/>
  <c r="Q1198" i="2"/>
  <c r="O1198" i="2"/>
  <c r="N1198" i="2"/>
  <c r="M1198" i="2"/>
  <c r="L1198" i="2"/>
  <c r="P1198" i="2" s="1"/>
  <c r="R1198" i="2" s="1"/>
  <c r="Q1197" i="2"/>
  <c r="O1197" i="2"/>
  <c r="N1197" i="2"/>
  <c r="M1197" i="2"/>
  <c r="L1197" i="2"/>
  <c r="P1197" i="2" s="1"/>
  <c r="R1197" i="2" s="1"/>
  <c r="Q1196" i="2"/>
  <c r="O1196" i="2"/>
  <c r="N1196" i="2"/>
  <c r="M1196" i="2"/>
  <c r="L1196" i="2"/>
  <c r="P1196" i="2" s="1"/>
  <c r="R1196" i="2" s="1"/>
  <c r="Q1195" i="2"/>
  <c r="O1195" i="2"/>
  <c r="N1195" i="2"/>
  <c r="M1195" i="2"/>
  <c r="L1195" i="2"/>
  <c r="P1195" i="2" s="1"/>
  <c r="R1195" i="2" s="1"/>
  <c r="Q1194" i="2"/>
  <c r="O1194" i="2"/>
  <c r="N1194" i="2"/>
  <c r="M1194" i="2"/>
  <c r="L1194" i="2"/>
  <c r="P1194" i="2" s="1"/>
  <c r="R1194" i="2" s="1"/>
  <c r="Q1193" i="2"/>
  <c r="O1193" i="2"/>
  <c r="N1193" i="2"/>
  <c r="M1193" i="2"/>
  <c r="L1193" i="2"/>
  <c r="P1193" i="2" s="1"/>
  <c r="R1193" i="2" s="1"/>
  <c r="Q1192" i="2"/>
  <c r="O1192" i="2"/>
  <c r="N1192" i="2"/>
  <c r="M1192" i="2"/>
  <c r="L1192" i="2"/>
  <c r="P1192" i="2" s="1"/>
  <c r="R1192" i="2" s="1"/>
  <c r="Q1191" i="2"/>
  <c r="O1191" i="2"/>
  <c r="N1191" i="2"/>
  <c r="M1191" i="2"/>
  <c r="L1191" i="2"/>
  <c r="P1191" i="2" s="1"/>
  <c r="R1191" i="2" s="1"/>
  <c r="Q1190" i="2"/>
  <c r="O1190" i="2"/>
  <c r="N1190" i="2"/>
  <c r="M1190" i="2"/>
  <c r="L1190" i="2"/>
  <c r="P1190" i="2" s="1"/>
  <c r="R1190" i="2" s="1"/>
  <c r="Q1189" i="2"/>
  <c r="O1189" i="2"/>
  <c r="N1189" i="2"/>
  <c r="M1189" i="2"/>
  <c r="L1189" i="2"/>
  <c r="P1189" i="2" s="1"/>
  <c r="R1189" i="2" s="1"/>
  <c r="Q1188" i="2"/>
  <c r="O1188" i="2"/>
  <c r="N1188" i="2"/>
  <c r="M1188" i="2"/>
  <c r="L1188" i="2"/>
  <c r="P1188" i="2" s="1"/>
  <c r="R1188" i="2" s="1"/>
  <c r="Q1187" i="2"/>
  <c r="O1187" i="2"/>
  <c r="N1187" i="2"/>
  <c r="M1187" i="2"/>
  <c r="L1187" i="2"/>
  <c r="P1187" i="2" s="1"/>
  <c r="R1187" i="2" s="1"/>
  <c r="Q1186" i="2"/>
  <c r="O1186" i="2"/>
  <c r="N1186" i="2"/>
  <c r="M1186" i="2"/>
  <c r="L1186" i="2"/>
  <c r="P1186" i="2" s="1"/>
  <c r="R1186" i="2" s="1"/>
  <c r="Q1185" i="2"/>
  <c r="O1185" i="2"/>
  <c r="N1185" i="2"/>
  <c r="M1185" i="2"/>
  <c r="L1185" i="2"/>
  <c r="P1185" i="2" s="1"/>
  <c r="R1185" i="2" s="1"/>
  <c r="Q1184" i="2"/>
  <c r="O1184" i="2"/>
  <c r="N1184" i="2"/>
  <c r="M1184" i="2"/>
  <c r="L1184" i="2"/>
  <c r="P1184" i="2" s="1"/>
  <c r="R1184" i="2" s="1"/>
  <c r="Q1183" i="2"/>
  <c r="O1183" i="2"/>
  <c r="N1183" i="2"/>
  <c r="M1183" i="2"/>
  <c r="L1183" i="2"/>
  <c r="P1183" i="2" s="1"/>
  <c r="R1183" i="2" s="1"/>
  <c r="Q1182" i="2"/>
  <c r="O1182" i="2"/>
  <c r="N1182" i="2"/>
  <c r="M1182" i="2"/>
  <c r="L1182" i="2"/>
  <c r="P1182" i="2" s="1"/>
  <c r="R1182" i="2" s="1"/>
  <c r="Q1181" i="2"/>
  <c r="O1181" i="2"/>
  <c r="N1181" i="2"/>
  <c r="M1181" i="2"/>
  <c r="L1181" i="2"/>
  <c r="P1181" i="2" s="1"/>
  <c r="R1181" i="2" s="1"/>
  <c r="Q1180" i="2"/>
  <c r="O1180" i="2"/>
  <c r="N1180" i="2"/>
  <c r="M1180" i="2"/>
  <c r="L1180" i="2"/>
  <c r="P1180" i="2" s="1"/>
  <c r="R1180" i="2" s="1"/>
  <c r="Q1179" i="2"/>
  <c r="O1179" i="2"/>
  <c r="N1179" i="2"/>
  <c r="M1179" i="2"/>
  <c r="L1179" i="2"/>
  <c r="P1179" i="2" s="1"/>
  <c r="R1179" i="2" s="1"/>
  <c r="Q1178" i="2"/>
  <c r="O1178" i="2"/>
  <c r="N1178" i="2"/>
  <c r="M1178" i="2"/>
  <c r="L1178" i="2"/>
  <c r="P1178" i="2" s="1"/>
  <c r="R1178" i="2" s="1"/>
  <c r="Q1177" i="2"/>
  <c r="O1177" i="2"/>
  <c r="N1177" i="2"/>
  <c r="M1177" i="2"/>
  <c r="L1177" i="2"/>
  <c r="P1177" i="2" s="1"/>
  <c r="R1177" i="2" s="1"/>
  <c r="Q1176" i="2"/>
  <c r="O1176" i="2"/>
  <c r="N1176" i="2"/>
  <c r="M1176" i="2"/>
  <c r="L1176" i="2"/>
  <c r="P1176" i="2" s="1"/>
  <c r="R1176" i="2" s="1"/>
  <c r="Q1175" i="2"/>
  <c r="O1175" i="2"/>
  <c r="N1175" i="2"/>
  <c r="M1175" i="2"/>
  <c r="L1175" i="2"/>
  <c r="P1175" i="2" s="1"/>
  <c r="R1175" i="2" s="1"/>
  <c r="Q1174" i="2"/>
  <c r="O1174" i="2"/>
  <c r="N1174" i="2"/>
  <c r="M1174" i="2"/>
  <c r="L1174" i="2"/>
  <c r="P1174" i="2" s="1"/>
  <c r="R1174" i="2" s="1"/>
  <c r="Q1173" i="2"/>
  <c r="O1173" i="2"/>
  <c r="N1173" i="2"/>
  <c r="M1173" i="2"/>
  <c r="L1173" i="2"/>
  <c r="P1173" i="2" s="1"/>
  <c r="R1173" i="2" s="1"/>
  <c r="Q1172" i="2"/>
  <c r="O1172" i="2"/>
  <c r="N1172" i="2"/>
  <c r="M1172" i="2"/>
  <c r="L1172" i="2"/>
  <c r="P1172" i="2" s="1"/>
  <c r="R1172" i="2" s="1"/>
  <c r="Q1171" i="2"/>
  <c r="O1171" i="2"/>
  <c r="N1171" i="2"/>
  <c r="M1171" i="2"/>
  <c r="L1171" i="2"/>
  <c r="P1171" i="2" s="1"/>
  <c r="R1171" i="2" s="1"/>
  <c r="Q1170" i="2"/>
  <c r="O1170" i="2"/>
  <c r="N1170" i="2"/>
  <c r="M1170" i="2"/>
  <c r="L1170" i="2"/>
  <c r="P1170" i="2" s="1"/>
  <c r="R1170" i="2" s="1"/>
  <c r="Q1169" i="2"/>
  <c r="O1169" i="2"/>
  <c r="N1169" i="2"/>
  <c r="M1169" i="2"/>
  <c r="L1169" i="2"/>
  <c r="P1169" i="2" s="1"/>
  <c r="R1169" i="2" s="1"/>
  <c r="Q1168" i="2"/>
  <c r="O1168" i="2"/>
  <c r="N1168" i="2"/>
  <c r="M1168" i="2"/>
  <c r="L1168" i="2"/>
  <c r="P1168" i="2" s="1"/>
  <c r="R1168" i="2" s="1"/>
  <c r="Q1167" i="2"/>
  <c r="O1167" i="2"/>
  <c r="N1167" i="2"/>
  <c r="M1167" i="2"/>
  <c r="L1167" i="2"/>
  <c r="P1167" i="2" s="1"/>
  <c r="R1167" i="2" s="1"/>
  <c r="Q1166" i="2"/>
  <c r="O1166" i="2"/>
  <c r="N1166" i="2"/>
  <c r="M1166" i="2"/>
  <c r="L1166" i="2"/>
  <c r="P1166" i="2" s="1"/>
  <c r="R1166" i="2" s="1"/>
  <c r="Q1165" i="2"/>
  <c r="O1165" i="2"/>
  <c r="N1165" i="2"/>
  <c r="M1165" i="2"/>
  <c r="L1165" i="2"/>
  <c r="P1165" i="2" s="1"/>
  <c r="R1165" i="2" s="1"/>
  <c r="Q1164" i="2"/>
  <c r="O1164" i="2"/>
  <c r="N1164" i="2"/>
  <c r="M1164" i="2"/>
  <c r="L1164" i="2"/>
  <c r="P1164" i="2" s="1"/>
  <c r="R1164" i="2" s="1"/>
  <c r="Q1163" i="2"/>
  <c r="O1163" i="2"/>
  <c r="N1163" i="2"/>
  <c r="M1163" i="2"/>
  <c r="L1163" i="2"/>
  <c r="P1163" i="2" s="1"/>
  <c r="R1163" i="2" s="1"/>
  <c r="Q1162" i="2"/>
  <c r="O1162" i="2"/>
  <c r="N1162" i="2"/>
  <c r="M1162" i="2"/>
  <c r="L1162" i="2"/>
  <c r="P1162" i="2" s="1"/>
  <c r="R1162" i="2" s="1"/>
  <c r="Q1161" i="2"/>
  <c r="O1161" i="2"/>
  <c r="N1161" i="2"/>
  <c r="M1161" i="2"/>
  <c r="L1161" i="2"/>
  <c r="P1161" i="2" s="1"/>
  <c r="R1161" i="2" s="1"/>
  <c r="Q1160" i="2"/>
  <c r="O1160" i="2"/>
  <c r="N1160" i="2"/>
  <c r="M1160" i="2"/>
  <c r="L1160" i="2"/>
  <c r="P1160" i="2" s="1"/>
  <c r="R1160" i="2" s="1"/>
  <c r="Q1159" i="2"/>
  <c r="O1159" i="2"/>
  <c r="N1159" i="2"/>
  <c r="M1159" i="2"/>
  <c r="L1159" i="2"/>
  <c r="P1159" i="2" s="1"/>
  <c r="R1159" i="2" s="1"/>
  <c r="Q1158" i="2"/>
  <c r="O1158" i="2"/>
  <c r="N1158" i="2"/>
  <c r="M1158" i="2"/>
  <c r="L1158" i="2"/>
  <c r="P1158" i="2" s="1"/>
  <c r="R1158" i="2" s="1"/>
  <c r="Q1157" i="2"/>
  <c r="O1157" i="2"/>
  <c r="N1157" i="2"/>
  <c r="M1157" i="2"/>
  <c r="L1157" i="2"/>
  <c r="P1157" i="2" s="1"/>
  <c r="R1157" i="2" s="1"/>
  <c r="Q1156" i="2"/>
  <c r="O1156" i="2"/>
  <c r="N1156" i="2"/>
  <c r="M1156" i="2"/>
  <c r="L1156" i="2"/>
  <c r="P1156" i="2" s="1"/>
  <c r="R1156" i="2" s="1"/>
  <c r="Q1155" i="2"/>
  <c r="O1155" i="2"/>
  <c r="N1155" i="2"/>
  <c r="M1155" i="2"/>
  <c r="L1155" i="2"/>
  <c r="P1155" i="2" s="1"/>
  <c r="R1155" i="2" s="1"/>
  <c r="Q1154" i="2"/>
  <c r="O1154" i="2"/>
  <c r="N1154" i="2"/>
  <c r="M1154" i="2"/>
  <c r="L1154" i="2"/>
  <c r="P1154" i="2" s="1"/>
  <c r="R1154" i="2" s="1"/>
  <c r="Q1153" i="2"/>
  <c r="O1153" i="2"/>
  <c r="N1153" i="2"/>
  <c r="M1153" i="2"/>
  <c r="L1153" i="2"/>
  <c r="P1153" i="2" s="1"/>
  <c r="R1153" i="2" s="1"/>
  <c r="Q1152" i="2"/>
  <c r="O1152" i="2"/>
  <c r="N1152" i="2"/>
  <c r="M1152" i="2"/>
  <c r="L1152" i="2"/>
  <c r="P1152" i="2" s="1"/>
  <c r="R1152" i="2" s="1"/>
  <c r="Q1151" i="2"/>
  <c r="O1151" i="2"/>
  <c r="N1151" i="2"/>
  <c r="M1151" i="2"/>
  <c r="L1151" i="2"/>
  <c r="P1151" i="2" s="1"/>
  <c r="R1151" i="2" s="1"/>
  <c r="Q1150" i="2"/>
  <c r="O1150" i="2"/>
  <c r="N1150" i="2"/>
  <c r="M1150" i="2"/>
  <c r="L1150" i="2"/>
  <c r="P1150" i="2" s="1"/>
  <c r="R1150" i="2" s="1"/>
  <c r="Q1149" i="2"/>
  <c r="O1149" i="2"/>
  <c r="N1149" i="2"/>
  <c r="M1149" i="2"/>
  <c r="L1149" i="2"/>
  <c r="P1149" i="2" s="1"/>
  <c r="R1149" i="2" s="1"/>
  <c r="Q1148" i="2"/>
  <c r="O1148" i="2"/>
  <c r="N1148" i="2"/>
  <c r="M1148" i="2"/>
  <c r="L1148" i="2"/>
  <c r="P1148" i="2" s="1"/>
  <c r="R1148" i="2" s="1"/>
  <c r="Q1147" i="2"/>
  <c r="O1147" i="2"/>
  <c r="N1147" i="2"/>
  <c r="M1147" i="2"/>
  <c r="L1147" i="2"/>
  <c r="P1147" i="2" s="1"/>
  <c r="R1147" i="2" s="1"/>
  <c r="Q1146" i="2"/>
  <c r="O1146" i="2"/>
  <c r="N1146" i="2"/>
  <c r="M1146" i="2"/>
  <c r="L1146" i="2"/>
  <c r="P1146" i="2" s="1"/>
  <c r="R1146" i="2" s="1"/>
  <c r="Q1145" i="2"/>
  <c r="O1145" i="2"/>
  <c r="N1145" i="2"/>
  <c r="M1145" i="2"/>
  <c r="L1145" i="2"/>
  <c r="P1145" i="2" s="1"/>
  <c r="R1145" i="2" s="1"/>
  <c r="Q1144" i="2"/>
  <c r="O1144" i="2"/>
  <c r="N1144" i="2"/>
  <c r="M1144" i="2"/>
  <c r="L1144" i="2"/>
  <c r="P1144" i="2" s="1"/>
  <c r="R1144" i="2" s="1"/>
  <c r="Q1143" i="2"/>
  <c r="O1143" i="2"/>
  <c r="N1143" i="2"/>
  <c r="M1143" i="2"/>
  <c r="L1143" i="2"/>
  <c r="P1143" i="2" s="1"/>
  <c r="R1143" i="2" s="1"/>
  <c r="Q1142" i="2"/>
  <c r="O1142" i="2"/>
  <c r="N1142" i="2"/>
  <c r="M1142" i="2"/>
  <c r="L1142" i="2"/>
  <c r="P1142" i="2" s="1"/>
  <c r="R1142" i="2" s="1"/>
  <c r="Q1141" i="2"/>
  <c r="O1141" i="2"/>
  <c r="N1141" i="2"/>
  <c r="M1141" i="2"/>
  <c r="L1141" i="2"/>
  <c r="P1141" i="2" s="1"/>
  <c r="R1141" i="2" s="1"/>
  <c r="Q1140" i="2"/>
  <c r="O1140" i="2"/>
  <c r="N1140" i="2"/>
  <c r="M1140" i="2"/>
  <c r="L1140" i="2"/>
  <c r="P1140" i="2" s="1"/>
  <c r="R1140" i="2" s="1"/>
  <c r="Q1139" i="2"/>
  <c r="O1139" i="2"/>
  <c r="N1139" i="2"/>
  <c r="M1139" i="2"/>
  <c r="L1139" i="2"/>
  <c r="P1139" i="2" s="1"/>
  <c r="R1139" i="2" s="1"/>
  <c r="Q1138" i="2"/>
  <c r="O1138" i="2"/>
  <c r="N1138" i="2"/>
  <c r="M1138" i="2"/>
  <c r="L1138" i="2"/>
  <c r="P1138" i="2" s="1"/>
  <c r="R1138" i="2" s="1"/>
  <c r="Q1137" i="2"/>
  <c r="O1137" i="2"/>
  <c r="N1137" i="2"/>
  <c r="M1137" i="2"/>
  <c r="L1137" i="2"/>
  <c r="P1137" i="2" s="1"/>
  <c r="R1137" i="2" s="1"/>
  <c r="Q1136" i="2"/>
  <c r="O1136" i="2"/>
  <c r="N1136" i="2"/>
  <c r="M1136" i="2"/>
  <c r="L1136" i="2"/>
  <c r="P1136" i="2" s="1"/>
  <c r="R1136" i="2" s="1"/>
  <c r="Q1135" i="2"/>
  <c r="O1135" i="2"/>
  <c r="N1135" i="2"/>
  <c r="M1135" i="2"/>
  <c r="L1135" i="2"/>
  <c r="P1135" i="2" s="1"/>
  <c r="R1135" i="2" s="1"/>
  <c r="Q1134" i="2"/>
  <c r="O1134" i="2"/>
  <c r="N1134" i="2"/>
  <c r="M1134" i="2"/>
  <c r="L1134" i="2"/>
  <c r="P1134" i="2" s="1"/>
  <c r="R1134" i="2" s="1"/>
  <c r="Q1133" i="2"/>
  <c r="O1133" i="2"/>
  <c r="N1133" i="2"/>
  <c r="M1133" i="2"/>
  <c r="L1133" i="2"/>
  <c r="P1133" i="2" s="1"/>
  <c r="R1133" i="2" s="1"/>
  <c r="Q1132" i="2"/>
  <c r="O1132" i="2"/>
  <c r="N1132" i="2"/>
  <c r="M1132" i="2"/>
  <c r="L1132" i="2"/>
  <c r="P1132" i="2" s="1"/>
  <c r="R1132" i="2" s="1"/>
  <c r="Q1131" i="2"/>
  <c r="O1131" i="2"/>
  <c r="N1131" i="2"/>
  <c r="M1131" i="2"/>
  <c r="L1131" i="2"/>
  <c r="P1131" i="2" s="1"/>
  <c r="R1131" i="2" s="1"/>
  <c r="Q1130" i="2"/>
  <c r="O1130" i="2"/>
  <c r="N1130" i="2"/>
  <c r="M1130" i="2"/>
  <c r="L1130" i="2"/>
  <c r="P1130" i="2" s="1"/>
  <c r="R1130" i="2" s="1"/>
  <c r="Q1129" i="2"/>
  <c r="O1129" i="2"/>
  <c r="N1129" i="2"/>
  <c r="M1129" i="2"/>
  <c r="L1129" i="2"/>
  <c r="P1129" i="2" s="1"/>
  <c r="R1129" i="2" s="1"/>
  <c r="Q1128" i="2"/>
  <c r="O1128" i="2"/>
  <c r="N1128" i="2"/>
  <c r="M1128" i="2"/>
  <c r="L1128" i="2"/>
  <c r="P1128" i="2" s="1"/>
  <c r="R1128" i="2" s="1"/>
  <c r="Q1127" i="2"/>
  <c r="O1127" i="2"/>
  <c r="N1127" i="2"/>
  <c r="M1127" i="2"/>
  <c r="L1127" i="2"/>
  <c r="P1127" i="2" s="1"/>
  <c r="R1127" i="2" s="1"/>
  <c r="Q1126" i="2"/>
  <c r="O1126" i="2"/>
  <c r="N1126" i="2"/>
  <c r="M1126" i="2"/>
  <c r="L1126" i="2"/>
  <c r="P1126" i="2" s="1"/>
  <c r="R1126" i="2" s="1"/>
  <c r="Q1125" i="2"/>
  <c r="O1125" i="2"/>
  <c r="N1125" i="2"/>
  <c r="M1125" i="2"/>
  <c r="L1125" i="2"/>
  <c r="P1125" i="2" s="1"/>
  <c r="R1125" i="2" s="1"/>
  <c r="Q1124" i="2"/>
  <c r="O1124" i="2"/>
  <c r="N1124" i="2"/>
  <c r="M1124" i="2"/>
  <c r="L1124" i="2"/>
  <c r="P1124" i="2" s="1"/>
  <c r="R1124" i="2" s="1"/>
  <c r="Q1123" i="2"/>
  <c r="O1123" i="2"/>
  <c r="N1123" i="2"/>
  <c r="M1123" i="2"/>
  <c r="L1123" i="2"/>
  <c r="P1123" i="2" s="1"/>
  <c r="R1123" i="2" s="1"/>
  <c r="Q1122" i="2"/>
  <c r="O1122" i="2"/>
  <c r="N1122" i="2"/>
  <c r="M1122" i="2"/>
  <c r="L1122" i="2"/>
  <c r="P1122" i="2" s="1"/>
  <c r="R1122" i="2" s="1"/>
  <c r="Q1121" i="2"/>
  <c r="O1121" i="2"/>
  <c r="N1121" i="2"/>
  <c r="M1121" i="2"/>
  <c r="L1121" i="2"/>
  <c r="P1121" i="2" s="1"/>
  <c r="R1121" i="2" s="1"/>
  <c r="Q1120" i="2"/>
  <c r="O1120" i="2"/>
  <c r="N1120" i="2"/>
  <c r="M1120" i="2"/>
  <c r="L1120" i="2"/>
  <c r="P1120" i="2" s="1"/>
  <c r="R1120" i="2" s="1"/>
  <c r="Q1119" i="2"/>
  <c r="O1119" i="2"/>
  <c r="N1119" i="2"/>
  <c r="M1119" i="2"/>
  <c r="L1119" i="2"/>
  <c r="P1119" i="2" s="1"/>
  <c r="R1119" i="2" s="1"/>
  <c r="Q1118" i="2"/>
  <c r="O1118" i="2"/>
  <c r="N1118" i="2"/>
  <c r="M1118" i="2"/>
  <c r="L1118" i="2"/>
  <c r="P1118" i="2" s="1"/>
  <c r="R1118" i="2" s="1"/>
  <c r="Q1117" i="2"/>
  <c r="O1117" i="2"/>
  <c r="N1117" i="2"/>
  <c r="M1117" i="2"/>
  <c r="L1117" i="2"/>
  <c r="P1117" i="2" s="1"/>
  <c r="R1117" i="2" s="1"/>
  <c r="Q1116" i="2"/>
  <c r="O1116" i="2"/>
  <c r="N1116" i="2"/>
  <c r="M1116" i="2"/>
  <c r="L1116" i="2"/>
  <c r="P1116" i="2" s="1"/>
  <c r="R1116" i="2" s="1"/>
  <c r="Q1115" i="2"/>
  <c r="O1115" i="2"/>
  <c r="N1115" i="2"/>
  <c r="M1115" i="2"/>
  <c r="L1115" i="2"/>
  <c r="P1115" i="2" s="1"/>
  <c r="R1115" i="2" s="1"/>
  <c r="Q1114" i="2"/>
  <c r="O1114" i="2"/>
  <c r="N1114" i="2"/>
  <c r="M1114" i="2"/>
  <c r="L1114" i="2"/>
  <c r="P1114" i="2" s="1"/>
  <c r="R1114" i="2" s="1"/>
  <c r="Q1113" i="2"/>
  <c r="O1113" i="2"/>
  <c r="N1113" i="2"/>
  <c r="M1113" i="2"/>
  <c r="L1113" i="2"/>
  <c r="P1113" i="2" s="1"/>
  <c r="R1113" i="2" s="1"/>
  <c r="Q1112" i="2"/>
  <c r="O1112" i="2"/>
  <c r="N1112" i="2"/>
  <c r="M1112" i="2"/>
  <c r="L1112" i="2"/>
  <c r="P1112" i="2" s="1"/>
  <c r="R1112" i="2" s="1"/>
  <c r="Q1111" i="2"/>
  <c r="O1111" i="2"/>
  <c r="N1111" i="2"/>
  <c r="M1111" i="2"/>
  <c r="L1111" i="2"/>
  <c r="P1111" i="2" s="1"/>
  <c r="R1111" i="2" s="1"/>
  <c r="Q1110" i="2"/>
  <c r="O1110" i="2"/>
  <c r="N1110" i="2"/>
  <c r="M1110" i="2"/>
  <c r="L1110" i="2"/>
  <c r="P1110" i="2" s="1"/>
  <c r="R1110" i="2" s="1"/>
  <c r="Q1109" i="2"/>
  <c r="O1109" i="2"/>
  <c r="N1109" i="2"/>
  <c r="M1109" i="2"/>
  <c r="L1109" i="2"/>
  <c r="P1109" i="2" s="1"/>
  <c r="R1109" i="2" s="1"/>
  <c r="Q1108" i="2"/>
  <c r="O1108" i="2"/>
  <c r="N1108" i="2"/>
  <c r="M1108" i="2"/>
  <c r="L1108" i="2"/>
  <c r="P1108" i="2" s="1"/>
  <c r="R1108" i="2" s="1"/>
  <c r="Q1107" i="2"/>
  <c r="O1107" i="2"/>
  <c r="N1107" i="2"/>
  <c r="M1107" i="2"/>
  <c r="L1107" i="2"/>
  <c r="P1107" i="2" s="1"/>
  <c r="R1107" i="2" s="1"/>
  <c r="Q1106" i="2"/>
  <c r="O1106" i="2"/>
  <c r="N1106" i="2"/>
  <c r="M1106" i="2"/>
  <c r="L1106" i="2"/>
  <c r="P1106" i="2" s="1"/>
  <c r="R1106" i="2" s="1"/>
  <c r="Q1105" i="2"/>
  <c r="O1105" i="2"/>
  <c r="N1105" i="2"/>
  <c r="M1105" i="2"/>
  <c r="L1105" i="2"/>
  <c r="P1105" i="2" s="1"/>
  <c r="R1105" i="2" s="1"/>
  <c r="Q1104" i="2"/>
  <c r="O1104" i="2"/>
  <c r="N1104" i="2"/>
  <c r="M1104" i="2"/>
  <c r="L1104" i="2"/>
  <c r="P1104" i="2" s="1"/>
  <c r="R1104" i="2" s="1"/>
  <c r="Q1103" i="2"/>
  <c r="O1103" i="2"/>
  <c r="N1103" i="2"/>
  <c r="M1103" i="2"/>
  <c r="L1103" i="2"/>
  <c r="P1103" i="2" s="1"/>
  <c r="R1103" i="2" s="1"/>
  <c r="Q1102" i="2"/>
  <c r="O1102" i="2"/>
  <c r="N1102" i="2"/>
  <c r="M1102" i="2"/>
  <c r="L1102" i="2"/>
  <c r="P1102" i="2" s="1"/>
  <c r="R1102" i="2" s="1"/>
  <c r="Q1101" i="2"/>
  <c r="O1101" i="2"/>
  <c r="N1101" i="2"/>
  <c r="M1101" i="2"/>
  <c r="L1101" i="2"/>
  <c r="P1101" i="2" s="1"/>
  <c r="R1101" i="2" s="1"/>
  <c r="Q1100" i="2"/>
  <c r="O1100" i="2"/>
  <c r="N1100" i="2"/>
  <c r="M1100" i="2"/>
  <c r="L1100" i="2"/>
  <c r="P1100" i="2" s="1"/>
  <c r="R1100" i="2" s="1"/>
  <c r="Q1099" i="2"/>
  <c r="O1099" i="2"/>
  <c r="N1099" i="2"/>
  <c r="M1099" i="2"/>
  <c r="L1099" i="2"/>
  <c r="P1099" i="2" s="1"/>
  <c r="R1099" i="2" s="1"/>
  <c r="Q1098" i="2"/>
  <c r="O1098" i="2"/>
  <c r="N1098" i="2"/>
  <c r="M1098" i="2"/>
  <c r="L1098" i="2"/>
  <c r="P1098" i="2" s="1"/>
  <c r="R1098" i="2" s="1"/>
  <c r="Q1097" i="2"/>
  <c r="O1097" i="2"/>
  <c r="N1097" i="2"/>
  <c r="M1097" i="2"/>
  <c r="L1097" i="2"/>
  <c r="P1097" i="2" s="1"/>
  <c r="R1097" i="2" s="1"/>
  <c r="Q1096" i="2"/>
  <c r="O1096" i="2"/>
  <c r="N1096" i="2"/>
  <c r="M1096" i="2"/>
  <c r="L1096" i="2"/>
  <c r="P1096" i="2" s="1"/>
  <c r="R1096" i="2" s="1"/>
  <c r="Q1095" i="2"/>
  <c r="O1095" i="2"/>
  <c r="N1095" i="2"/>
  <c r="M1095" i="2"/>
  <c r="L1095" i="2"/>
  <c r="P1095" i="2" s="1"/>
  <c r="R1095" i="2" s="1"/>
  <c r="Q1094" i="2"/>
  <c r="O1094" i="2"/>
  <c r="N1094" i="2"/>
  <c r="M1094" i="2"/>
  <c r="L1094" i="2"/>
  <c r="P1094" i="2" s="1"/>
  <c r="R1094" i="2" s="1"/>
  <c r="Q1093" i="2"/>
  <c r="O1093" i="2"/>
  <c r="N1093" i="2"/>
  <c r="M1093" i="2"/>
  <c r="L1093" i="2"/>
  <c r="P1093" i="2" s="1"/>
  <c r="R1093" i="2" s="1"/>
  <c r="Q1092" i="2"/>
  <c r="O1092" i="2"/>
  <c r="N1092" i="2"/>
  <c r="M1092" i="2"/>
  <c r="L1092" i="2"/>
  <c r="P1092" i="2" s="1"/>
  <c r="R1092" i="2" s="1"/>
  <c r="Q1091" i="2"/>
  <c r="O1091" i="2"/>
  <c r="N1091" i="2"/>
  <c r="M1091" i="2"/>
  <c r="L1091" i="2"/>
  <c r="P1091" i="2" s="1"/>
  <c r="R1091" i="2" s="1"/>
  <c r="Q1090" i="2"/>
  <c r="O1090" i="2"/>
  <c r="N1090" i="2"/>
  <c r="M1090" i="2"/>
  <c r="L1090" i="2"/>
  <c r="P1090" i="2" s="1"/>
  <c r="R1090" i="2" s="1"/>
  <c r="Q1089" i="2"/>
  <c r="O1089" i="2"/>
  <c r="N1089" i="2"/>
  <c r="M1089" i="2"/>
  <c r="L1089" i="2"/>
  <c r="P1089" i="2" s="1"/>
  <c r="R1089" i="2" s="1"/>
  <c r="Q1088" i="2"/>
  <c r="O1088" i="2"/>
  <c r="N1088" i="2"/>
  <c r="M1088" i="2"/>
  <c r="L1088" i="2"/>
  <c r="P1088" i="2" s="1"/>
  <c r="R1088" i="2" s="1"/>
  <c r="Q1087" i="2"/>
  <c r="O1087" i="2"/>
  <c r="N1087" i="2"/>
  <c r="M1087" i="2"/>
  <c r="L1087" i="2"/>
  <c r="P1087" i="2" s="1"/>
  <c r="R1087" i="2" s="1"/>
  <c r="Q1086" i="2"/>
  <c r="O1086" i="2"/>
  <c r="N1086" i="2"/>
  <c r="M1086" i="2"/>
  <c r="L1086" i="2"/>
  <c r="P1086" i="2" s="1"/>
  <c r="R1086" i="2" s="1"/>
  <c r="Q1085" i="2"/>
  <c r="O1085" i="2"/>
  <c r="N1085" i="2"/>
  <c r="M1085" i="2"/>
  <c r="L1085" i="2"/>
  <c r="P1085" i="2" s="1"/>
  <c r="R1085" i="2" s="1"/>
  <c r="Q1084" i="2"/>
  <c r="O1084" i="2"/>
  <c r="N1084" i="2"/>
  <c r="M1084" i="2"/>
  <c r="L1084" i="2"/>
  <c r="P1084" i="2" s="1"/>
  <c r="R1084" i="2" s="1"/>
  <c r="Q1083" i="2"/>
  <c r="O1083" i="2"/>
  <c r="N1083" i="2"/>
  <c r="M1083" i="2"/>
  <c r="L1083" i="2"/>
  <c r="P1083" i="2" s="1"/>
  <c r="R1083" i="2" s="1"/>
  <c r="Q1082" i="2"/>
  <c r="O1082" i="2"/>
  <c r="N1082" i="2"/>
  <c r="M1082" i="2"/>
  <c r="L1082" i="2"/>
  <c r="P1082" i="2" s="1"/>
  <c r="R1082" i="2" s="1"/>
  <c r="Q1081" i="2"/>
  <c r="O1081" i="2"/>
  <c r="N1081" i="2"/>
  <c r="M1081" i="2"/>
  <c r="L1081" i="2"/>
  <c r="P1081" i="2" s="1"/>
  <c r="R1081" i="2" s="1"/>
  <c r="Q1080" i="2"/>
  <c r="O1080" i="2"/>
  <c r="N1080" i="2"/>
  <c r="M1080" i="2"/>
  <c r="L1080" i="2"/>
  <c r="P1080" i="2" s="1"/>
  <c r="R1080" i="2" s="1"/>
  <c r="Q1079" i="2"/>
  <c r="O1079" i="2"/>
  <c r="N1079" i="2"/>
  <c r="M1079" i="2"/>
  <c r="L1079" i="2"/>
  <c r="P1079" i="2" s="1"/>
  <c r="R1079" i="2" s="1"/>
  <c r="Q1078" i="2"/>
  <c r="O1078" i="2"/>
  <c r="N1078" i="2"/>
  <c r="M1078" i="2"/>
  <c r="L1078" i="2"/>
  <c r="P1078" i="2" s="1"/>
  <c r="R1078" i="2" s="1"/>
  <c r="Q1077" i="2"/>
  <c r="O1077" i="2"/>
  <c r="N1077" i="2"/>
  <c r="M1077" i="2"/>
  <c r="L1077" i="2"/>
  <c r="P1077" i="2" s="1"/>
  <c r="R1077" i="2" s="1"/>
  <c r="Q1076" i="2"/>
  <c r="O1076" i="2"/>
  <c r="N1076" i="2"/>
  <c r="M1076" i="2"/>
  <c r="L1076" i="2"/>
  <c r="P1076" i="2" s="1"/>
  <c r="R1076" i="2" s="1"/>
  <c r="Q1075" i="2"/>
  <c r="O1075" i="2"/>
  <c r="N1075" i="2"/>
  <c r="M1075" i="2"/>
  <c r="L1075" i="2"/>
  <c r="P1075" i="2" s="1"/>
  <c r="R1075" i="2" s="1"/>
  <c r="Q1074" i="2"/>
  <c r="O1074" i="2"/>
  <c r="N1074" i="2"/>
  <c r="M1074" i="2"/>
  <c r="L1074" i="2"/>
  <c r="P1074" i="2" s="1"/>
  <c r="R1074" i="2" s="1"/>
  <c r="Q1073" i="2"/>
  <c r="O1073" i="2"/>
  <c r="N1073" i="2"/>
  <c r="M1073" i="2"/>
  <c r="L1073" i="2"/>
  <c r="P1073" i="2" s="1"/>
  <c r="R1073" i="2" s="1"/>
  <c r="Q1072" i="2"/>
  <c r="O1072" i="2"/>
  <c r="N1072" i="2"/>
  <c r="M1072" i="2"/>
  <c r="L1072" i="2"/>
  <c r="P1072" i="2" s="1"/>
  <c r="R1072" i="2" s="1"/>
  <c r="Q1071" i="2"/>
  <c r="O1071" i="2"/>
  <c r="N1071" i="2"/>
  <c r="M1071" i="2"/>
  <c r="L1071" i="2"/>
  <c r="P1071" i="2" s="1"/>
  <c r="R1071" i="2" s="1"/>
  <c r="Q1070" i="2"/>
  <c r="O1070" i="2"/>
  <c r="N1070" i="2"/>
  <c r="M1070" i="2"/>
  <c r="L1070" i="2"/>
  <c r="P1070" i="2" s="1"/>
  <c r="R1070" i="2" s="1"/>
  <c r="Q1069" i="2"/>
  <c r="O1069" i="2"/>
  <c r="N1069" i="2"/>
  <c r="M1069" i="2"/>
  <c r="L1069" i="2"/>
  <c r="P1069" i="2" s="1"/>
  <c r="R1069" i="2" s="1"/>
  <c r="Q1068" i="2"/>
  <c r="O1068" i="2"/>
  <c r="N1068" i="2"/>
  <c r="M1068" i="2"/>
  <c r="L1068" i="2"/>
  <c r="P1068" i="2" s="1"/>
  <c r="R1068" i="2" s="1"/>
  <c r="Q1067" i="2"/>
  <c r="O1067" i="2"/>
  <c r="N1067" i="2"/>
  <c r="M1067" i="2"/>
  <c r="L1067" i="2"/>
  <c r="P1067" i="2" s="1"/>
  <c r="R1067" i="2" s="1"/>
  <c r="Q1066" i="2"/>
  <c r="O1066" i="2"/>
  <c r="N1066" i="2"/>
  <c r="M1066" i="2"/>
  <c r="L1066" i="2"/>
  <c r="P1066" i="2" s="1"/>
  <c r="R1066" i="2" s="1"/>
  <c r="Q1065" i="2"/>
  <c r="O1065" i="2"/>
  <c r="N1065" i="2"/>
  <c r="M1065" i="2"/>
  <c r="L1065" i="2"/>
  <c r="P1065" i="2" s="1"/>
  <c r="R1065" i="2" s="1"/>
  <c r="Q1064" i="2"/>
  <c r="O1064" i="2"/>
  <c r="N1064" i="2"/>
  <c r="M1064" i="2"/>
  <c r="L1064" i="2"/>
  <c r="P1064" i="2" s="1"/>
  <c r="R1064" i="2" s="1"/>
  <c r="Q1063" i="2"/>
  <c r="O1063" i="2"/>
  <c r="N1063" i="2"/>
  <c r="M1063" i="2"/>
  <c r="L1063" i="2"/>
  <c r="P1063" i="2" s="1"/>
  <c r="R1063" i="2" s="1"/>
  <c r="Q1062" i="2"/>
  <c r="O1062" i="2"/>
  <c r="N1062" i="2"/>
  <c r="M1062" i="2"/>
  <c r="L1062" i="2"/>
  <c r="P1062" i="2" s="1"/>
  <c r="R1062" i="2" s="1"/>
  <c r="Q1061" i="2"/>
  <c r="O1061" i="2"/>
  <c r="N1061" i="2"/>
  <c r="M1061" i="2"/>
  <c r="L1061" i="2"/>
  <c r="P1061" i="2" s="1"/>
  <c r="R1061" i="2" s="1"/>
  <c r="Q1060" i="2"/>
  <c r="O1060" i="2"/>
  <c r="N1060" i="2"/>
  <c r="M1060" i="2"/>
  <c r="L1060" i="2"/>
  <c r="P1060" i="2" s="1"/>
  <c r="R1060" i="2" s="1"/>
  <c r="Q1059" i="2"/>
  <c r="O1059" i="2"/>
  <c r="N1059" i="2"/>
  <c r="M1059" i="2"/>
  <c r="L1059" i="2"/>
  <c r="P1059" i="2" s="1"/>
  <c r="R1059" i="2" s="1"/>
  <c r="Q1058" i="2"/>
  <c r="O1058" i="2"/>
  <c r="N1058" i="2"/>
  <c r="M1058" i="2"/>
  <c r="L1058" i="2"/>
  <c r="P1058" i="2" s="1"/>
  <c r="R1058" i="2" s="1"/>
  <c r="Q1057" i="2"/>
  <c r="O1057" i="2"/>
  <c r="N1057" i="2"/>
  <c r="M1057" i="2"/>
  <c r="L1057" i="2"/>
  <c r="P1057" i="2" s="1"/>
  <c r="R1057" i="2" s="1"/>
  <c r="Q1056" i="2"/>
  <c r="O1056" i="2"/>
  <c r="N1056" i="2"/>
  <c r="M1056" i="2"/>
  <c r="L1056" i="2"/>
  <c r="P1056" i="2" s="1"/>
  <c r="R1056" i="2" s="1"/>
  <c r="Q1055" i="2"/>
  <c r="O1055" i="2"/>
  <c r="N1055" i="2"/>
  <c r="M1055" i="2"/>
  <c r="L1055" i="2"/>
  <c r="P1055" i="2" s="1"/>
  <c r="R1055" i="2" s="1"/>
  <c r="Q1054" i="2"/>
  <c r="O1054" i="2"/>
  <c r="N1054" i="2"/>
  <c r="M1054" i="2"/>
  <c r="L1054" i="2"/>
  <c r="P1054" i="2" s="1"/>
  <c r="R1054" i="2" s="1"/>
  <c r="Q1053" i="2"/>
  <c r="O1053" i="2"/>
  <c r="N1053" i="2"/>
  <c r="M1053" i="2"/>
  <c r="L1053" i="2"/>
  <c r="P1053" i="2" s="1"/>
  <c r="R1053" i="2" s="1"/>
  <c r="Q1052" i="2"/>
  <c r="O1052" i="2"/>
  <c r="N1052" i="2"/>
  <c r="M1052" i="2"/>
  <c r="L1052" i="2"/>
  <c r="P1052" i="2" s="1"/>
  <c r="R1052" i="2" s="1"/>
  <c r="Q1051" i="2"/>
  <c r="O1051" i="2"/>
  <c r="N1051" i="2"/>
  <c r="M1051" i="2"/>
  <c r="L1051" i="2"/>
  <c r="P1051" i="2" s="1"/>
  <c r="R1051" i="2" s="1"/>
  <c r="Q1050" i="2"/>
  <c r="O1050" i="2"/>
  <c r="N1050" i="2"/>
  <c r="M1050" i="2"/>
  <c r="L1050" i="2"/>
  <c r="P1050" i="2" s="1"/>
  <c r="R1050" i="2" s="1"/>
  <c r="Q1049" i="2"/>
  <c r="O1049" i="2"/>
  <c r="N1049" i="2"/>
  <c r="M1049" i="2"/>
  <c r="L1049" i="2"/>
  <c r="P1049" i="2" s="1"/>
  <c r="R1049" i="2" s="1"/>
  <c r="Q1048" i="2"/>
  <c r="O1048" i="2"/>
  <c r="N1048" i="2"/>
  <c r="M1048" i="2"/>
  <c r="L1048" i="2"/>
  <c r="P1048" i="2" s="1"/>
  <c r="R1048" i="2" s="1"/>
  <c r="Q1047" i="2"/>
  <c r="O1047" i="2"/>
  <c r="N1047" i="2"/>
  <c r="M1047" i="2"/>
  <c r="L1047" i="2"/>
  <c r="P1047" i="2" s="1"/>
  <c r="R1047" i="2" s="1"/>
  <c r="Q1046" i="2"/>
  <c r="O1046" i="2"/>
  <c r="N1046" i="2"/>
  <c r="M1046" i="2"/>
  <c r="L1046" i="2"/>
  <c r="P1046" i="2" s="1"/>
  <c r="R1046" i="2" s="1"/>
  <c r="Q1045" i="2"/>
  <c r="O1045" i="2"/>
  <c r="N1045" i="2"/>
  <c r="M1045" i="2"/>
  <c r="L1045" i="2"/>
  <c r="P1045" i="2" s="1"/>
  <c r="R1045" i="2" s="1"/>
  <c r="Q1044" i="2"/>
  <c r="O1044" i="2"/>
  <c r="N1044" i="2"/>
  <c r="M1044" i="2"/>
  <c r="L1044" i="2"/>
  <c r="P1044" i="2" s="1"/>
  <c r="R1044" i="2" s="1"/>
  <c r="Q1043" i="2"/>
  <c r="O1043" i="2"/>
  <c r="N1043" i="2"/>
  <c r="M1043" i="2"/>
  <c r="L1043" i="2"/>
  <c r="P1043" i="2" s="1"/>
  <c r="R1043" i="2" s="1"/>
  <c r="Q1042" i="2"/>
  <c r="O1042" i="2"/>
  <c r="N1042" i="2"/>
  <c r="M1042" i="2"/>
  <c r="L1042" i="2"/>
  <c r="P1042" i="2" s="1"/>
  <c r="R1042" i="2" s="1"/>
  <c r="Q1041" i="2"/>
  <c r="O1041" i="2"/>
  <c r="N1041" i="2"/>
  <c r="M1041" i="2"/>
  <c r="L1041" i="2"/>
  <c r="P1041" i="2" s="1"/>
  <c r="R1041" i="2" s="1"/>
  <c r="Q1040" i="2"/>
  <c r="O1040" i="2"/>
  <c r="N1040" i="2"/>
  <c r="M1040" i="2"/>
  <c r="L1040" i="2"/>
  <c r="P1040" i="2" s="1"/>
  <c r="R1040" i="2" s="1"/>
  <c r="Q1039" i="2"/>
  <c r="O1039" i="2"/>
  <c r="N1039" i="2"/>
  <c r="M1039" i="2"/>
  <c r="L1039" i="2"/>
  <c r="P1039" i="2" s="1"/>
  <c r="R1039" i="2" s="1"/>
  <c r="Q1038" i="2"/>
  <c r="O1038" i="2"/>
  <c r="N1038" i="2"/>
  <c r="M1038" i="2"/>
  <c r="L1038" i="2"/>
  <c r="P1038" i="2" s="1"/>
  <c r="R1038" i="2" s="1"/>
  <c r="Q1037" i="2"/>
  <c r="O1037" i="2"/>
  <c r="N1037" i="2"/>
  <c r="M1037" i="2"/>
  <c r="L1037" i="2"/>
  <c r="P1037" i="2" s="1"/>
  <c r="R1037" i="2" s="1"/>
  <c r="Q1036" i="2"/>
  <c r="O1036" i="2"/>
  <c r="N1036" i="2"/>
  <c r="M1036" i="2"/>
  <c r="L1036" i="2"/>
  <c r="P1036" i="2" s="1"/>
  <c r="R1036" i="2" s="1"/>
  <c r="Q1035" i="2"/>
  <c r="O1035" i="2"/>
  <c r="N1035" i="2"/>
  <c r="M1035" i="2"/>
  <c r="L1035" i="2"/>
  <c r="P1035" i="2" s="1"/>
  <c r="R1035" i="2" s="1"/>
  <c r="Q1034" i="2"/>
  <c r="O1034" i="2"/>
  <c r="N1034" i="2"/>
  <c r="M1034" i="2"/>
  <c r="L1034" i="2"/>
  <c r="P1034" i="2" s="1"/>
  <c r="R1034" i="2" s="1"/>
  <c r="Q1033" i="2"/>
  <c r="O1033" i="2"/>
  <c r="N1033" i="2"/>
  <c r="M1033" i="2"/>
  <c r="L1033" i="2"/>
  <c r="P1033" i="2" s="1"/>
  <c r="R1033" i="2" s="1"/>
  <c r="Q1032" i="2"/>
  <c r="O1032" i="2"/>
  <c r="N1032" i="2"/>
  <c r="M1032" i="2"/>
  <c r="L1032" i="2"/>
  <c r="P1032" i="2" s="1"/>
  <c r="R1032" i="2" s="1"/>
  <c r="Q1031" i="2"/>
  <c r="O1031" i="2"/>
  <c r="N1031" i="2"/>
  <c r="M1031" i="2"/>
  <c r="L1031" i="2"/>
  <c r="P1031" i="2" s="1"/>
  <c r="R1031" i="2" s="1"/>
  <c r="Q1030" i="2"/>
  <c r="O1030" i="2"/>
  <c r="N1030" i="2"/>
  <c r="M1030" i="2"/>
  <c r="L1030" i="2"/>
  <c r="P1030" i="2" s="1"/>
  <c r="R1030" i="2" s="1"/>
  <c r="Q1029" i="2"/>
  <c r="O1029" i="2"/>
  <c r="N1029" i="2"/>
  <c r="M1029" i="2"/>
  <c r="L1029" i="2"/>
  <c r="P1029" i="2" s="1"/>
  <c r="R1029" i="2" s="1"/>
  <c r="Q1028" i="2"/>
  <c r="O1028" i="2"/>
  <c r="N1028" i="2"/>
  <c r="M1028" i="2"/>
  <c r="L1028" i="2"/>
  <c r="P1028" i="2" s="1"/>
  <c r="R1028" i="2" s="1"/>
  <c r="Q1027" i="2"/>
  <c r="O1027" i="2"/>
  <c r="N1027" i="2"/>
  <c r="M1027" i="2"/>
  <c r="L1027" i="2"/>
  <c r="P1027" i="2" s="1"/>
  <c r="R1027" i="2" s="1"/>
  <c r="Q1026" i="2"/>
  <c r="O1026" i="2"/>
  <c r="N1026" i="2"/>
  <c r="M1026" i="2"/>
  <c r="L1026" i="2"/>
  <c r="P1026" i="2" s="1"/>
  <c r="R1026" i="2" s="1"/>
  <c r="Q1025" i="2"/>
  <c r="O1025" i="2"/>
  <c r="N1025" i="2"/>
  <c r="M1025" i="2"/>
  <c r="L1025" i="2"/>
  <c r="P1025" i="2" s="1"/>
  <c r="R1025" i="2" s="1"/>
  <c r="Q1024" i="2"/>
  <c r="O1024" i="2"/>
  <c r="N1024" i="2"/>
  <c r="M1024" i="2"/>
  <c r="L1024" i="2"/>
  <c r="P1024" i="2" s="1"/>
  <c r="R1024" i="2" s="1"/>
  <c r="Q1023" i="2"/>
  <c r="O1023" i="2"/>
  <c r="N1023" i="2"/>
  <c r="M1023" i="2"/>
  <c r="L1023" i="2"/>
  <c r="P1023" i="2" s="1"/>
  <c r="R1023" i="2" s="1"/>
  <c r="Q1022" i="2"/>
  <c r="O1022" i="2"/>
  <c r="N1022" i="2"/>
  <c r="M1022" i="2"/>
  <c r="L1022" i="2"/>
  <c r="P1022" i="2" s="1"/>
  <c r="R1022" i="2" s="1"/>
  <c r="Q1021" i="2"/>
  <c r="O1021" i="2"/>
  <c r="N1021" i="2"/>
  <c r="M1021" i="2"/>
  <c r="L1021" i="2"/>
  <c r="P1021" i="2" s="1"/>
  <c r="R1021" i="2" s="1"/>
  <c r="Q1020" i="2"/>
  <c r="O1020" i="2"/>
  <c r="N1020" i="2"/>
  <c r="M1020" i="2"/>
  <c r="L1020" i="2"/>
  <c r="P1020" i="2" s="1"/>
  <c r="R1020" i="2" s="1"/>
  <c r="Q1019" i="2"/>
  <c r="O1019" i="2"/>
  <c r="N1019" i="2"/>
  <c r="M1019" i="2"/>
  <c r="L1019" i="2"/>
  <c r="P1019" i="2" s="1"/>
  <c r="R1019" i="2" s="1"/>
  <c r="Q1018" i="2"/>
  <c r="O1018" i="2"/>
  <c r="N1018" i="2"/>
  <c r="M1018" i="2"/>
  <c r="L1018" i="2"/>
  <c r="P1018" i="2" s="1"/>
  <c r="R1018" i="2" s="1"/>
  <c r="Q1017" i="2"/>
  <c r="O1017" i="2"/>
  <c r="N1017" i="2"/>
  <c r="M1017" i="2"/>
  <c r="L1017" i="2"/>
  <c r="P1017" i="2" s="1"/>
  <c r="R1017" i="2" s="1"/>
  <c r="Q1016" i="2"/>
  <c r="O1016" i="2"/>
  <c r="N1016" i="2"/>
  <c r="M1016" i="2"/>
  <c r="L1016" i="2"/>
  <c r="P1016" i="2" s="1"/>
  <c r="R1016" i="2" s="1"/>
  <c r="Q1015" i="2"/>
  <c r="O1015" i="2"/>
  <c r="N1015" i="2"/>
  <c r="M1015" i="2"/>
  <c r="L1015" i="2"/>
  <c r="P1015" i="2" s="1"/>
  <c r="R1015" i="2" s="1"/>
  <c r="Q1014" i="2"/>
  <c r="O1014" i="2"/>
  <c r="N1014" i="2"/>
  <c r="M1014" i="2"/>
  <c r="L1014" i="2"/>
  <c r="P1014" i="2" s="1"/>
  <c r="R1014" i="2" s="1"/>
  <c r="Q1013" i="2"/>
  <c r="O1013" i="2"/>
  <c r="N1013" i="2"/>
  <c r="M1013" i="2"/>
  <c r="L1013" i="2"/>
  <c r="P1013" i="2" s="1"/>
  <c r="R1013" i="2" s="1"/>
  <c r="Q1012" i="2"/>
  <c r="O1012" i="2"/>
  <c r="N1012" i="2"/>
  <c r="M1012" i="2"/>
  <c r="L1012" i="2"/>
  <c r="P1012" i="2" s="1"/>
  <c r="R1012" i="2" s="1"/>
  <c r="Q1011" i="2"/>
  <c r="O1011" i="2"/>
  <c r="N1011" i="2"/>
  <c r="M1011" i="2"/>
  <c r="L1011" i="2"/>
  <c r="P1011" i="2" s="1"/>
  <c r="R1011" i="2" s="1"/>
  <c r="Q1010" i="2"/>
  <c r="O1010" i="2"/>
  <c r="N1010" i="2"/>
  <c r="M1010" i="2"/>
  <c r="L1010" i="2"/>
  <c r="P1010" i="2" s="1"/>
  <c r="R1010" i="2" s="1"/>
  <c r="Q1009" i="2"/>
  <c r="O1009" i="2"/>
  <c r="N1009" i="2"/>
  <c r="M1009" i="2"/>
  <c r="L1009" i="2"/>
  <c r="P1009" i="2" s="1"/>
  <c r="R1009" i="2" s="1"/>
  <c r="Q1008" i="2"/>
  <c r="O1008" i="2"/>
  <c r="N1008" i="2"/>
  <c r="M1008" i="2"/>
  <c r="L1008" i="2"/>
  <c r="P1008" i="2" s="1"/>
  <c r="R1008" i="2" s="1"/>
  <c r="Q1007" i="2"/>
  <c r="O1007" i="2"/>
  <c r="N1007" i="2"/>
  <c r="M1007" i="2"/>
  <c r="L1007" i="2"/>
  <c r="P1007" i="2" s="1"/>
  <c r="R1007" i="2" s="1"/>
  <c r="Q1006" i="2"/>
  <c r="O1006" i="2"/>
  <c r="N1006" i="2"/>
  <c r="M1006" i="2"/>
  <c r="L1006" i="2"/>
  <c r="P1006" i="2" s="1"/>
  <c r="R1006" i="2" s="1"/>
  <c r="Q1005" i="2"/>
  <c r="O1005" i="2"/>
  <c r="N1005" i="2"/>
  <c r="M1005" i="2"/>
  <c r="L1005" i="2"/>
  <c r="P1005" i="2" s="1"/>
  <c r="R1005" i="2" s="1"/>
  <c r="Q1004" i="2"/>
  <c r="O1004" i="2"/>
  <c r="N1004" i="2"/>
  <c r="M1004" i="2"/>
  <c r="L1004" i="2"/>
  <c r="P1004" i="2" s="1"/>
  <c r="R1004" i="2" s="1"/>
  <c r="Q1003" i="2"/>
  <c r="O1003" i="2"/>
  <c r="N1003" i="2"/>
  <c r="M1003" i="2"/>
  <c r="L1003" i="2"/>
  <c r="P1003" i="2" s="1"/>
  <c r="R1003" i="2" s="1"/>
  <c r="Q1002" i="2"/>
  <c r="O1002" i="2"/>
  <c r="N1002" i="2"/>
  <c r="M1002" i="2"/>
  <c r="L1002" i="2"/>
  <c r="P1002" i="2" s="1"/>
  <c r="R1002" i="2" s="1"/>
  <c r="Q1001" i="2"/>
  <c r="O1001" i="2"/>
  <c r="N1001" i="2"/>
  <c r="M1001" i="2"/>
  <c r="L1001" i="2"/>
  <c r="P1001" i="2" s="1"/>
  <c r="R1001" i="2" s="1"/>
  <c r="Q1000" i="2"/>
  <c r="O1000" i="2"/>
  <c r="N1000" i="2"/>
  <c r="M1000" i="2"/>
  <c r="L1000" i="2"/>
  <c r="P1000" i="2" s="1"/>
  <c r="R1000" i="2" s="1"/>
  <c r="Q999" i="2"/>
  <c r="O999" i="2"/>
  <c r="N999" i="2"/>
  <c r="M999" i="2"/>
  <c r="L999" i="2"/>
  <c r="P999" i="2" s="1"/>
  <c r="R999" i="2" s="1"/>
  <c r="Q998" i="2"/>
  <c r="O998" i="2"/>
  <c r="N998" i="2"/>
  <c r="M998" i="2"/>
  <c r="L998" i="2"/>
  <c r="P998" i="2" s="1"/>
  <c r="R998" i="2" s="1"/>
  <c r="Q997" i="2"/>
  <c r="O997" i="2"/>
  <c r="N997" i="2"/>
  <c r="M997" i="2"/>
  <c r="L997" i="2"/>
  <c r="P997" i="2" s="1"/>
  <c r="R997" i="2" s="1"/>
  <c r="Q996" i="2"/>
  <c r="O996" i="2"/>
  <c r="N996" i="2"/>
  <c r="M996" i="2"/>
  <c r="L996" i="2"/>
  <c r="P996" i="2" s="1"/>
  <c r="R996" i="2" s="1"/>
  <c r="Q995" i="2"/>
  <c r="O995" i="2"/>
  <c r="N995" i="2"/>
  <c r="M995" i="2"/>
  <c r="L995" i="2"/>
  <c r="P995" i="2" s="1"/>
  <c r="R995" i="2" s="1"/>
  <c r="Q994" i="2"/>
  <c r="O994" i="2"/>
  <c r="N994" i="2"/>
  <c r="M994" i="2"/>
  <c r="L994" i="2"/>
  <c r="P994" i="2" s="1"/>
  <c r="R994" i="2" s="1"/>
  <c r="Q993" i="2"/>
  <c r="O993" i="2"/>
  <c r="N993" i="2"/>
  <c r="M993" i="2"/>
  <c r="L993" i="2"/>
  <c r="P993" i="2" s="1"/>
  <c r="R993" i="2" s="1"/>
  <c r="Q992" i="2"/>
  <c r="O992" i="2"/>
  <c r="N992" i="2"/>
  <c r="M992" i="2"/>
  <c r="L992" i="2"/>
  <c r="P992" i="2" s="1"/>
  <c r="R992" i="2" s="1"/>
  <c r="Q991" i="2"/>
  <c r="O991" i="2"/>
  <c r="N991" i="2"/>
  <c r="M991" i="2"/>
  <c r="L991" i="2"/>
  <c r="P991" i="2" s="1"/>
  <c r="R991" i="2" s="1"/>
  <c r="Q990" i="2"/>
  <c r="O990" i="2"/>
  <c r="N990" i="2"/>
  <c r="M990" i="2"/>
  <c r="L990" i="2"/>
  <c r="P990" i="2" s="1"/>
  <c r="R990" i="2" s="1"/>
  <c r="Q989" i="2"/>
  <c r="O989" i="2"/>
  <c r="N989" i="2"/>
  <c r="M989" i="2"/>
  <c r="L989" i="2"/>
  <c r="P989" i="2" s="1"/>
  <c r="R989" i="2" s="1"/>
  <c r="Q988" i="2"/>
  <c r="O988" i="2"/>
  <c r="N988" i="2"/>
  <c r="M988" i="2"/>
  <c r="L988" i="2"/>
  <c r="P988" i="2" s="1"/>
  <c r="R988" i="2" s="1"/>
  <c r="Q987" i="2"/>
  <c r="O987" i="2"/>
  <c r="N987" i="2"/>
  <c r="M987" i="2"/>
  <c r="L987" i="2"/>
  <c r="P987" i="2" s="1"/>
  <c r="R987" i="2" s="1"/>
  <c r="Q986" i="2"/>
  <c r="O986" i="2"/>
  <c r="N986" i="2"/>
  <c r="M986" i="2"/>
  <c r="L986" i="2"/>
  <c r="P986" i="2" s="1"/>
  <c r="R986" i="2" s="1"/>
  <c r="Q985" i="2"/>
  <c r="O985" i="2"/>
  <c r="N985" i="2"/>
  <c r="M985" i="2"/>
  <c r="L985" i="2"/>
  <c r="P985" i="2" s="1"/>
  <c r="R985" i="2" s="1"/>
  <c r="Q984" i="2"/>
  <c r="O984" i="2"/>
  <c r="N984" i="2"/>
  <c r="M984" i="2"/>
  <c r="L984" i="2"/>
  <c r="P984" i="2" s="1"/>
  <c r="R984" i="2" s="1"/>
  <c r="Q983" i="2"/>
  <c r="O983" i="2"/>
  <c r="N983" i="2"/>
  <c r="M983" i="2"/>
  <c r="L983" i="2"/>
  <c r="P983" i="2" s="1"/>
  <c r="R983" i="2" s="1"/>
  <c r="Q982" i="2"/>
  <c r="O982" i="2"/>
  <c r="N982" i="2"/>
  <c r="M982" i="2"/>
  <c r="L982" i="2"/>
  <c r="P982" i="2" s="1"/>
  <c r="R982" i="2" s="1"/>
  <c r="Q981" i="2"/>
  <c r="O981" i="2"/>
  <c r="N981" i="2"/>
  <c r="M981" i="2"/>
  <c r="L981" i="2"/>
  <c r="P981" i="2" s="1"/>
  <c r="R981" i="2" s="1"/>
  <c r="Q980" i="2"/>
  <c r="O980" i="2"/>
  <c r="N980" i="2"/>
  <c r="M980" i="2"/>
  <c r="L980" i="2"/>
  <c r="P980" i="2" s="1"/>
  <c r="R980" i="2" s="1"/>
  <c r="Q979" i="2"/>
  <c r="O979" i="2"/>
  <c r="N979" i="2"/>
  <c r="M979" i="2"/>
  <c r="L979" i="2"/>
  <c r="P979" i="2" s="1"/>
  <c r="R979" i="2" s="1"/>
  <c r="Q978" i="2"/>
  <c r="O978" i="2"/>
  <c r="N978" i="2"/>
  <c r="M978" i="2"/>
  <c r="L978" i="2"/>
  <c r="P978" i="2" s="1"/>
  <c r="R978" i="2" s="1"/>
  <c r="Q977" i="2"/>
  <c r="O977" i="2"/>
  <c r="N977" i="2"/>
  <c r="M977" i="2"/>
  <c r="L977" i="2"/>
  <c r="P977" i="2" s="1"/>
  <c r="R977" i="2" s="1"/>
  <c r="Q976" i="2"/>
  <c r="O976" i="2"/>
  <c r="N976" i="2"/>
  <c r="M976" i="2"/>
  <c r="L976" i="2"/>
  <c r="P976" i="2" s="1"/>
  <c r="R976" i="2" s="1"/>
  <c r="Q975" i="2"/>
  <c r="O975" i="2"/>
  <c r="N975" i="2"/>
  <c r="M975" i="2"/>
  <c r="L975" i="2"/>
  <c r="P975" i="2" s="1"/>
  <c r="R975" i="2" s="1"/>
  <c r="Q974" i="2"/>
  <c r="O974" i="2"/>
  <c r="N974" i="2"/>
  <c r="M974" i="2"/>
  <c r="L974" i="2"/>
  <c r="P974" i="2" s="1"/>
  <c r="R974" i="2" s="1"/>
  <c r="Q973" i="2"/>
  <c r="O973" i="2"/>
  <c r="N973" i="2"/>
  <c r="M973" i="2"/>
  <c r="L973" i="2"/>
  <c r="P973" i="2" s="1"/>
  <c r="R973" i="2" s="1"/>
  <c r="Q972" i="2"/>
  <c r="O972" i="2"/>
  <c r="N972" i="2"/>
  <c r="M972" i="2"/>
  <c r="L972" i="2"/>
  <c r="P972" i="2" s="1"/>
  <c r="R972" i="2" s="1"/>
  <c r="Q971" i="2"/>
  <c r="O971" i="2"/>
  <c r="N971" i="2"/>
  <c r="M971" i="2"/>
  <c r="L971" i="2"/>
  <c r="P971" i="2" s="1"/>
  <c r="R971" i="2" s="1"/>
  <c r="Q970" i="2"/>
  <c r="O970" i="2"/>
  <c r="N970" i="2"/>
  <c r="M970" i="2"/>
  <c r="L970" i="2"/>
  <c r="P970" i="2" s="1"/>
  <c r="R970" i="2" s="1"/>
  <c r="Q969" i="2"/>
  <c r="O969" i="2"/>
  <c r="N969" i="2"/>
  <c r="M969" i="2"/>
  <c r="L969" i="2"/>
  <c r="P969" i="2" s="1"/>
  <c r="R969" i="2" s="1"/>
  <c r="Q968" i="2"/>
  <c r="O968" i="2"/>
  <c r="N968" i="2"/>
  <c r="M968" i="2"/>
  <c r="L968" i="2"/>
  <c r="P968" i="2" s="1"/>
  <c r="R968" i="2" s="1"/>
  <c r="Q967" i="2"/>
  <c r="O967" i="2"/>
  <c r="N967" i="2"/>
  <c r="M967" i="2"/>
  <c r="L967" i="2"/>
  <c r="P967" i="2" s="1"/>
  <c r="R967" i="2" s="1"/>
  <c r="Q966" i="2"/>
  <c r="O966" i="2"/>
  <c r="N966" i="2"/>
  <c r="M966" i="2"/>
  <c r="L966" i="2"/>
  <c r="P966" i="2" s="1"/>
  <c r="R966" i="2" s="1"/>
  <c r="Q965" i="2"/>
  <c r="O965" i="2"/>
  <c r="N965" i="2"/>
  <c r="M965" i="2"/>
  <c r="L965" i="2"/>
  <c r="P965" i="2" s="1"/>
  <c r="R965" i="2" s="1"/>
  <c r="Q964" i="2"/>
  <c r="O964" i="2"/>
  <c r="N964" i="2"/>
  <c r="M964" i="2"/>
  <c r="L964" i="2"/>
  <c r="P964" i="2" s="1"/>
  <c r="R964" i="2" s="1"/>
  <c r="Q963" i="2"/>
  <c r="O963" i="2"/>
  <c r="N963" i="2"/>
  <c r="M963" i="2"/>
  <c r="L963" i="2"/>
  <c r="P963" i="2" s="1"/>
  <c r="R963" i="2" s="1"/>
  <c r="Q962" i="2"/>
  <c r="O962" i="2"/>
  <c r="N962" i="2"/>
  <c r="M962" i="2"/>
  <c r="L962" i="2"/>
  <c r="P962" i="2" s="1"/>
  <c r="R962" i="2" s="1"/>
  <c r="Q961" i="2"/>
  <c r="O961" i="2"/>
  <c r="N961" i="2"/>
  <c r="M961" i="2"/>
  <c r="L961" i="2"/>
  <c r="P961" i="2" s="1"/>
  <c r="R961" i="2" s="1"/>
  <c r="Q960" i="2"/>
  <c r="O960" i="2"/>
  <c r="N960" i="2"/>
  <c r="M960" i="2"/>
  <c r="L960" i="2"/>
  <c r="P960" i="2" s="1"/>
  <c r="R960" i="2" s="1"/>
  <c r="Q959" i="2"/>
  <c r="O959" i="2"/>
  <c r="N959" i="2"/>
  <c r="M959" i="2"/>
  <c r="L959" i="2"/>
  <c r="P959" i="2" s="1"/>
  <c r="R959" i="2" s="1"/>
  <c r="Q958" i="2"/>
  <c r="O958" i="2"/>
  <c r="N958" i="2"/>
  <c r="M958" i="2"/>
  <c r="L958" i="2"/>
  <c r="P958" i="2" s="1"/>
  <c r="R958" i="2" s="1"/>
  <c r="Q957" i="2"/>
  <c r="O957" i="2"/>
  <c r="N957" i="2"/>
  <c r="M957" i="2"/>
  <c r="L957" i="2"/>
  <c r="P957" i="2" s="1"/>
  <c r="R957" i="2" s="1"/>
  <c r="Q956" i="2"/>
  <c r="O956" i="2"/>
  <c r="N956" i="2"/>
  <c r="M956" i="2"/>
  <c r="L956" i="2"/>
  <c r="P956" i="2" s="1"/>
  <c r="R956" i="2" s="1"/>
  <c r="Q955" i="2"/>
  <c r="O955" i="2"/>
  <c r="N955" i="2"/>
  <c r="M955" i="2"/>
  <c r="L955" i="2"/>
  <c r="P955" i="2" s="1"/>
  <c r="R955" i="2" s="1"/>
  <c r="Q954" i="2"/>
  <c r="O954" i="2"/>
  <c r="N954" i="2"/>
  <c r="M954" i="2"/>
  <c r="L954" i="2"/>
  <c r="P954" i="2" s="1"/>
  <c r="R954" i="2" s="1"/>
  <c r="Q953" i="2"/>
  <c r="O953" i="2"/>
  <c r="N953" i="2"/>
  <c r="M953" i="2"/>
  <c r="L953" i="2"/>
  <c r="P953" i="2" s="1"/>
  <c r="R953" i="2" s="1"/>
  <c r="Q952" i="2"/>
  <c r="O952" i="2"/>
  <c r="N952" i="2"/>
  <c r="M952" i="2"/>
  <c r="L952" i="2"/>
  <c r="P952" i="2" s="1"/>
  <c r="R952" i="2" s="1"/>
  <c r="Q951" i="2"/>
  <c r="O951" i="2"/>
  <c r="N951" i="2"/>
  <c r="M951" i="2"/>
  <c r="L951" i="2"/>
  <c r="P951" i="2" s="1"/>
  <c r="R951" i="2" s="1"/>
  <c r="Q950" i="2"/>
  <c r="O950" i="2"/>
  <c r="N950" i="2"/>
  <c r="M950" i="2"/>
  <c r="L950" i="2"/>
  <c r="P950" i="2" s="1"/>
  <c r="R950" i="2" s="1"/>
  <c r="Q949" i="2"/>
  <c r="O949" i="2"/>
  <c r="N949" i="2"/>
  <c r="M949" i="2"/>
  <c r="L949" i="2"/>
  <c r="P949" i="2" s="1"/>
  <c r="R949" i="2" s="1"/>
  <c r="Q948" i="2"/>
  <c r="O948" i="2"/>
  <c r="N948" i="2"/>
  <c r="M948" i="2"/>
  <c r="L948" i="2"/>
  <c r="P948" i="2" s="1"/>
  <c r="R948" i="2" s="1"/>
  <c r="Q947" i="2"/>
  <c r="O947" i="2"/>
  <c r="N947" i="2"/>
  <c r="M947" i="2"/>
  <c r="L947" i="2"/>
  <c r="P947" i="2" s="1"/>
  <c r="R947" i="2" s="1"/>
  <c r="Q946" i="2"/>
  <c r="O946" i="2"/>
  <c r="N946" i="2"/>
  <c r="M946" i="2"/>
  <c r="L946" i="2"/>
  <c r="P946" i="2" s="1"/>
  <c r="R946" i="2" s="1"/>
  <c r="Q945" i="2"/>
  <c r="O945" i="2"/>
  <c r="N945" i="2"/>
  <c r="M945" i="2"/>
  <c r="L945" i="2"/>
  <c r="P945" i="2" s="1"/>
  <c r="R945" i="2" s="1"/>
  <c r="Q944" i="2"/>
  <c r="O944" i="2"/>
  <c r="N944" i="2"/>
  <c r="M944" i="2"/>
  <c r="L944" i="2"/>
  <c r="P944" i="2" s="1"/>
  <c r="R944" i="2" s="1"/>
  <c r="Q943" i="2"/>
  <c r="O943" i="2"/>
  <c r="N943" i="2"/>
  <c r="M943" i="2"/>
  <c r="L943" i="2"/>
  <c r="P943" i="2" s="1"/>
  <c r="R943" i="2" s="1"/>
  <c r="Q942" i="2"/>
  <c r="O942" i="2"/>
  <c r="N942" i="2"/>
  <c r="M942" i="2"/>
  <c r="L942" i="2"/>
  <c r="P942" i="2" s="1"/>
  <c r="R942" i="2" s="1"/>
  <c r="Q941" i="2"/>
  <c r="O941" i="2"/>
  <c r="N941" i="2"/>
  <c r="M941" i="2"/>
  <c r="L941" i="2"/>
  <c r="P941" i="2" s="1"/>
  <c r="R941" i="2" s="1"/>
  <c r="Q940" i="2"/>
  <c r="O940" i="2"/>
  <c r="N940" i="2"/>
  <c r="M940" i="2"/>
  <c r="L940" i="2"/>
  <c r="P940" i="2" s="1"/>
  <c r="R940" i="2" s="1"/>
  <c r="Q939" i="2"/>
  <c r="O939" i="2"/>
  <c r="N939" i="2"/>
  <c r="M939" i="2"/>
  <c r="L939" i="2"/>
  <c r="P939" i="2" s="1"/>
  <c r="R939" i="2" s="1"/>
  <c r="Q938" i="2"/>
  <c r="O938" i="2"/>
  <c r="N938" i="2"/>
  <c r="M938" i="2"/>
  <c r="L938" i="2"/>
  <c r="P938" i="2" s="1"/>
  <c r="R938" i="2" s="1"/>
  <c r="Q937" i="2"/>
  <c r="O937" i="2"/>
  <c r="N937" i="2"/>
  <c r="M937" i="2"/>
  <c r="L937" i="2"/>
  <c r="P937" i="2" s="1"/>
  <c r="R937" i="2" s="1"/>
  <c r="Q936" i="2"/>
  <c r="O936" i="2"/>
  <c r="N936" i="2"/>
  <c r="M936" i="2"/>
  <c r="L936" i="2"/>
  <c r="P936" i="2" s="1"/>
  <c r="R936" i="2" s="1"/>
  <c r="Q935" i="2"/>
  <c r="O935" i="2"/>
  <c r="N935" i="2"/>
  <c r="M935" i="2"/>
  <c r="L935" i="2"/>
  <c r="P935" i="2" s="1"/>
  <c r="R935" i="2" s="1"/>
  <c r="Q934" i="2"/>
  <c r="O934" i="2"/>
  <c r="N934" i="2"/>
  <c r="M934" i="2"/>
  <c r="L934" i="2"/>
  <c r="P934" i="2" s="1"/>
  <c r="R934" i="2" s="1"/>
  <c r="Q933" i="2"/>
  <c r="O933" i="2"/>
  <c r="N933" i="2"/>
  <c r="M933" i="2"/>
  <c r="L933" i="2"/>
  <c r="P933" i="2" s="1"/>
  <c r="R933" i="2" s="1"/>
  <c r="Q932" i="2"/>
  <c r="O932" i="2"/>
  <c r="N932" i="2"/>
  <c r="M932" i="2"/>
  <c r="L932" i="2"/>
  <c r="P932" i="2" s="1"/>
  <c r="R932" i="2" s="1"/>
  <c r="Q931" i="2"/>
  <c r="O931" i="2"/>
  <c r="N931" i="2"/>
  <c r="M931" i="2"/>
  <c r="L931" i="2"/>
  <c r="P931" i="2" s="1"/>
  <c r="R931" i="2" s="1"/>
  <c r="Q930" i="2"/>
  <c r="O930" i="2"/>
  <c r="N930" i="2"/>
  <c r="M930" i="2"/>
  <c r="L930" i="2"/>
  <c r="P930" i="2" s="1"/>
  <c r="R930" i="2" s="1"/>
  <c r="Q929" i="2"/>
  <c r="O929" i="2"/>
  <c r="N929" i="2"/>
  <c r="M929" i="2"/>
  <c r="L929" i="2"/>
  <c r="P929" i="2" s="1"/>
  <c r="R929" i="2" s="1"/>
  <c r="Q928" i="2"/>
  <c r="O928" i="2"/>
  <c r="N928" i="2"/>
  <c r="M928" i="2"/>
  <c r="L928" i="2"/>
  <c r="P928" i="2" s="1"/>
  <c r="R928" i="2" s="1"/>
  <c r="Q927" i="2"/>
  <c r="O927" i="2"/>
  <c r="N927" i="2"/>
  <c r="M927" i="2"/>
  <c r="L927" i="2"/>
  <c r="P927" i="2" s="1"/>
  <c r="R927" i="2" s="1"/>
  <c r="Q926" i="2"/>
  <c r="O926" i="2"/>
  <c r="N926" i="2"/>
  <c r="M926" i="2"/>
  <c r="L926" i="2"/>
  <c r="P926" i="2" s="1"/>
  <c r="R926" i="2" s="1"/>
  <c r="Q925" i="2"/>
  <c r="O925" i="2"/>
  <c r="N925" i="2"/>
  <c r="M925" i="2"/>
  <c r="L925" i="2"/>
  <c r="P925" i="2" s="1"/>
  <c r="R925" i="2" s="1"/>
  <c r="Q924" i="2"/>
  <c r="O924" i="2"/>
  <c r="N924" i="2"/>
  <c r="M924" i="2"/>
  <c r="L924" i="2"/>
  <c r="P924" i="2" s="1"/>
  <c r="R924" i="2" s="1"/>
  <c r="Q923" i="2"/>
  <c r="O923" i="2"/>
  <c r="N923" i="2"/>
  <c r="M923" i="2"/>
  <c r="L923" i="2"/>
  <c r="P923" i="2" s="1"/>
  <c r="R923" i="2" s="1"/>
  <c r="Q922" i="2"/>
  <c r="O922" i="2"/>
  <c r="N922" i="2"/>
  <c r="M922" i="2"/>
  <c r="L922" i="2"/>
  <c r="P922" i="2" s="1"/>
  <c r="R922" i="2" s="1"/>
  <c r="Q921" i="2"/>
  <c r="O921" i="2"/>
  <c r="N921" i="2"/>
  <c r="M921" i="2"/>
  <c r="L921" i="2"/>
  <c r="P921" i="2" s="1"/>
  <c r="R921" i="2" s="1"/>
  <c r="Q920" i="2"/>
  <c r="O920" i="2"/>
  <c r="N920" i="2"/>
  <c r="M920" i="2"/>
  <c r="L920" i="2"/>
  <c r="P920" i="2" s="1"/>
  <c r="R920" i="2" s="1"/>
  <c r="Q919" i="2"/>
  <c r="O919" i="2"/>
  <c r="N919" i="2"/>
  <c r="M919" i="2"/>
  <c r="L919" i="2"/>
  <c r="P919" i="2" s="1"/>
  <c r="R919" i="2" s="1"/>
  <c r="Q918" i="2"/>
  <c r="O918" i="2"/>
  <c r="N918" i="2"/>
  <c r="M918" i="2"/>
  <c r="L918" i="2"/>
  <c r="P918" i="2" s="1"/>
  <c r="R918" i="2" s="1"/>
  <c r="Q917" i="2"/>
  <c r="O917" i="2"/>
  <c r="N917" i="2"/>
  <c r="M917" i="2"/>
  <c r="L917" i="2"/>
  <c r="P917" i="2" s="1"/>
  <c r="R917" i="2" s="1"/>
  <c r="Q916" i="2"/>
  <c r="O916" i="2"/>
  <c r="N916" i="2"/>
  <c r="M916" i="2"/>
  <c r="L916" i="2"/>
  <c r="P916" i="2" s="1"/>
  <c r="R916" i="2" s="1"/>
  <c r="Q915" i="2"/>
  <c r="O915" i="2"/>
  <c r="N915" i="2"/>
  <c r="M915" i="2"/>
  <c r="L915" i="2"/>
  <c r="P915" i="2" s="1"/>
  <c r="R915" i="2" s="1"/>
  <c r="Q914" i="2"/>
  <c r="O914" i="2"/>
  <c r="N914" i="2"/>
  <c r="M914" i="2"/>
  <c r="L914" i="2"/>
  <c r="P914" i="2" s="1"/>
  <c r="R914" i="2" s="1"/>
  <c r="Q913" i="2"/>
  <c r="O913" i="2"/>
  <c r="N913" i="2"/>
  <c r="M913" i="2"/>
  <c r="L913" i="2"/>
  <c r="P913" i="2" s="1"/>
  <c r="R913" i="2" s="1"/>
  <c r="Q912" i="2"/>
  <c r="O912" i="2"/>
  <c r="N912" i="2"/>
  <c r="M912" i="2"/>
  <c r="L912" i="2"/>
  <c r="P912" i="2" s="1"/>
  <c r="R912" i="2" s="1"/>
  <c r="Q911" i="2"/>
  <c r="O911" i="2"/>
  <c r="N911" i="2"/>
  <c r="M911" i="2"/>
  <c r="L911" i="2"/>
  <c r="P911" i="2" s="1"/>
  <c r="R911" i="2" s="1"/>
  <c r="Q910" i="2"/>
  <c r="O910" i="2"/>
  <c r="N910" i="2"/>
  <c r="M910" i="2"/>
  <c r="L910" i="2"/>
  <c r="P910" i="2" s="1"/>
  <c r="R910" i="2" s="1"/>
  <c r="Q909" i="2"/>
  <c r="O909" i="2"/>
  <c r="N909" i="2"/>
  <c r="M909" i="2"/>
  <c r="L909" i="2"/>
  <c r="P909" i="2" s="1"/>
  <c r="R909" i="2" s="1"/>
  <c r="Q908" i="2"/>
  <c r="O908" i="2"/>
  <c r="N908" i="2"/>
  <c r="M908" i="2"/>
  <c r="L908" i="2"/>
  <c r="P908" i="2" s="1"/>
  <c r="R908" i="2" s="1"/>
  <c r="Q907" i="2"/>
  <c r="O907" i="2"/>
  <c r="N907" i="2"/>
  <c r="M907" i="2"/>
  <c r="L907" i="2"/>
  <c r="P907" i="2" s="1"/>
  <c r="R907" i="2" s="1"/>
  <c r="Q906" i="2"/>
  <c r="O906" i="2"/>
  <c r="N906" i="2"/>
  <c r="M906" i="2"/>
  <c r="L906" i="2"/>
  <c r="P906" i="2" s="1"/>
  <c r="R906" i="2" s="1"/>
  <c r="Q905" i="2"/>
  <c r="O905" i="2"/>
  <c r="N905" i="2"/>
  <c r="M905" i="2"/>
  <c r="L905" i="2"/>
  <c r="P905" i="2" s="1"/>
  <c r="R905" i="2" s="1"/>
  <c r="Q904" i="2"/>
  <c r="O904" i="2"/>
  <c r="N904" i="2"/>
  <c r="M904" i="2"/>
  <c r="L904" i="2"/>
  <c r="P904" i="2" s="1"/>
  <c r="R904" i="2" s="1"/>
  <c r="Q903" i="2"/>
  <c r="O903" i="2"/>
  <c r="N903" i="2"/>
  <c r="M903" i="2"/>
  <c r="L903" i="2"/>
  <c r="P903" i="2" s="1"/>
  <c r="R903" i="2" s="1"/>
  <c r="Q902" i="2"/>
  <c r="O902" i="2"/>
  <c r="N902" i="2"/>
  <c r="M902" i="2"/>
  <c r="L902" i="2"/>
  <c r="P902" i="2" s="1"/>
  <c r="R902" i="2" s="1"/>
  <c r="Q901" i="2"/>
  <c r="O901" i="2"/>
  <c r="N901" i="2"/>
  <c r="M901" i="2"/>
  <c r="L901" i="2"/>
  <c r="P901" i="2" s="1"/>
  <c r="R901" i="2" s="1"/>
  <c r="Q900" i="2"/>
  <c r="O900" i="2"/>
  <c r="N900" i="2"/>
  <c r="M900" i="2"/>
  <c r="L900" i="2"/>
  <c r="P900" i="2" s="1"/>
  <c r="R900" i="2" s="1"/>
  <c r="Q899" i="2"/>
  <c r="O899" i="2"/>
  <c r="N899" i="2"/>
  <c r="M899" i="2"/>
  <c r="L899" i="2"/>
  <c r="P899" i="2" s="1"/>
  <c r="R899" i="2" s="1"/>
  <c r="Q898" i="2"/>
  <c r="O898" i="2"/>
  <c r="N898" i="2"/>
  <c r="M898" i="2"/>
  <c r="L898" i="2"/>
  <c r="P898" i="2" s="1"/>
  <c r="R898" i="2" s="1"/>
  <c r="Q897" i="2"/>
  <c r="O897" i="2"/>
  <c r="N897" i="2"/>
  <c r="M897" i="2"/>
  <c r="L897" i="2"/>
  <c r="P897" i="2" s="1"/>
  <c r="R897" i="2" s="1"/>
  <c r="Q896" i="2"/>
  <c r="O896" i="2"/>
  <c r="N896" i="2"/>
  <c r="M896" i="2"/>
  <c r="L896" i="2"/>
  <c r="P896" i="2" s="1"/>
  <c r="R896" i="2" s="1"/>
  <c r="Q895" i="2"/>
  <c r="O895" i="2"/>
  <c r="N895" i="2"/>
  <c r="M895" i="2"/>
  <c r="L895" i="2"/>
  <c r="P895" i="2" s="1"/>
  <c r="R895" i="2" s="1"/>
  <c r="Q894" i="2"/>
  <c r="O894" i="2"/>
  <c r="N894" i="2"/>
  <c r="M894" i="2"/>
  <c r="L894" i="2"/>
  <c r="P894" i="2" s="1"/>
  <c r="R894" i="2" s="1"/>
  <c r="Q893" i="2"/>
  <c r="O893" i="2"/>
  <c r="N893" i="2"/>
  <c r="M893" i="2"/>
  <c r="L893" i="2"/>
  <c r="P893" i="2" s="1"/>
  <c r="R893" i="2" s="1"/>
  <c r="Q892" i="2"/>
  <c r="O892" i="2"/>
  <c r="N892" i="2"/>
  <c r="M892" i="2"/>
  <c r="L892" i="2"/>
  <c r="P892" i="2" s="1"/>
  <c r="R892" i="2" s="1"/>
  <c r="Q891" i="2"/>
  <c r="O891" i="2"/>
  <c r="N891" i="2"/>
  <c r="M891" i="2"/>
  <c r="L891" i="2"/>
  <c r="P891" i="2" s="1"/>
  <c r="R891" i="2" s="1"/>
  <c r="Q890" i="2"/>
  <c r="O890" i="2"/>
  <c r="N890" i="2"/>
  <c r="M890" i="2"/>
  <c r="L890" i="2"/>
  <c r="P890" i="2" s="1"/>
  <c r="R890" i="2" s="1"/>
  <c r="Q889" i="2"/>
  <c r="O889" i="2"/>
  <c r="N889" i="2"/>
  <c r="M889" i="2"/>
  <c r="L889" i="2"/>
  <c r="P889" i="2" s="1"/>
  <c r="R889" i="2" s="1"/>
  <c r="Q888" i="2"/>
  <c r="O888" i="2"/>
  <c r="N888" i="2"/>
  <c r="M888" i="2"/>
  <c r="L888" i="2"/>
  <c r="P888" i="2" s="1"/>
  <c r="R888" i="2" s="1"/>
  <c r="Q887" i="2"/>
  <c r="O887" i="2"/>
  <c r="N887" i="2"/>
  <c r="M887" i="2"/>
  <c r="L887" i="2"/>
  <c r="P887" i="2" s="1"/>
  <c r="R887" i="2" s="1"/>
  <c r="Q886" i="2"/>
  <c r="O886" i="2"/>
  <c r="N886" i="2"/>
  <c r="M886" i="2"/>
  <c r="L886" i="2"/>
  <c r="P886" i="2" s="1"/>
  <c r="R886" i="2" s="1"/>
  <c r="Q885" i="2"/>
  <c r="O885" i="2"/>
  <c r="N885" i="2"/>
  <c r="M885" i="2"/>
  <c r="L885" i="2"/>
  <c r="P885" i="2" s="1"/>
  <c r="R885" i="2" s="1"/>
  <c r="Q884" i="2"/>
  <c r="O884" i="2"/>
  <c r="N884" i="2"/>
  <c r="M884" i="2"/>
  <c r="L884" i="2"/>
  <c r="P884" i="2" s="1"/>
  <c r="R884" i="2" s="1"/>
  <c r="Q883" i="2"/>
  <c r="O883" i="2"/>
  <c r="N883" i="2"/>
  <c r="M883" i="2"/>
  <c r="L883" i="2"/>
  <c r="P883" i="2" s="1"/>
  <c r="R883" i="2" s="1"/>
  <c r="Q882" i="2"/>
  <c r="O882" i="2"/>
  <c r="N882" i="2"/>
  <c r="M882" i="2"/>
  <c r="L882" i="2"/>
  <c r="P882" i="2" s="1"/>
  <c r="R882" i="2" s="1"/>
  <c r="Q881" i="2"/>
  <c r="O881" i="2"/>
  <c r="N881" i="2"/>
  <c r="M881" i="2"/>
  <c r="L881" i="2"/>
  <c r="P881" i="2" s="1"/>
  <c r="R881" i="2" s="1"/>
  <c r="Q880" i="2"/>
  <c r="O880" i="2"/>
  <c r="N880" i="2"/>
  <c r="M880" i="2"/>
  <c r="L880" i="2"/>
  <c r="P880" i="2" s="1"/>
  <c r="R880" i="2" s="1"/>
  <c r="Q879" i="2"/>
  <c r="O879" i="2"/>
  <c r="N879" i="2"/>
  <c r="M879" i="2"/>
  <c r="L879" i="2"/>
  <c r="P879" i="2" s="1"/>
  <c r="R879" i="2" s="1"/>
  <c r="Q878" i="2"/>
  <c r="O878" i="2"/>
  <c r="N878" i="2"/>
  <c r="M878" i="2"/>
  <c r="L878" i="2"/>
  <c r="P878" i="2" s="1"/>
  <c r="R878" i="2" s="1"/>
  <c r="Q877" i="2"/>
  <c r="O877" i="2"/>
  <c r="N877" i="2"/>
  <c r="M877" i="2"/>
  <c r="L877" i="2"/>
  <c r="P877" i="2" s="1"/>
  <c r="R877" i="2" s="1"/>
  <c r="Q876" i="2"/>
  <c r="O876" i="2"/>
  <c r="N876" i="2"/>
  <c r="M876" i="2"/>
  <c r="L876" i="2"/>
  <c r="P876" i="2" s="1"/>
  <c r="R876" i="2" s="1"/>
  <c r="Q875" i="2"/>
  <c r="O875" i="2"/>
  <c r="N875" i="2"/>
  <c r="M875" i="2"/>
  <c r="L875" i="2"/>
  <c r="P875" i="2" s="1"/>
  <c r="R875" i="2" s="1"/>
  <c r="Q874" i="2"/>
  <c r="O874" i="2"/>
  <c r="N874" i="2"/>
  <c r="M874" i="2"/>
  <c r="L874" i="2"/>
  <c r="P874" i="2" s="1"/>
  <c r="R874" i="2" s="1"/>
  <c r="Q873" i="2"/>
  <c r="O873" i="2"/>
  <c r="N873" i="2"/>
  <c r="M873" i="2"/>
  <c r="L873" i="2"/>
  <c r="P873" i="2" s="1"/>
  <c r="R873" i="2" s="1"/>
  <c r="Q872" i="2"/>
  <c r="O872" i="2"/>
  <c r="N872" i="2"/>
  <c r="M872" i="2"/>
  <c r="L872" i="2"/>
  <c r="P872" i="2" s="1"/>
  <c r="R872" i="2" s="1"/>
  <c r="Q871" i="2"/>
  <c r="O871" i="2"/>
  <c r="N871" i="2"/>
  <c r="M871" i="2"/>
  <c r="L871" i="2"/>
  <c r="P871" i="2" s="1"/>
  <c r="R871" i="2" s="1"/>
  <c r="Q870" i="2"/>
  <c r="O870" i="2"/>
  <c r="N870" i="2"/>
  <c r="M870" i="2"/>
  <c r="L870" i="2"/>
  <c r="P870" i="2" s="1"/>
  <c r="R870" i="2" s="1"/>
  <c r="Q869" i="2"/>
  <c r="O869" i="2"/>
  <c r="N869" i="2"/>
  <c r="M869" i="2"/>
  <c r="L869" i="2"/>
  <c r="P869" i="2" s="1"/>
  <c r="R869" i="2" s="1"/>
  <c r="Q868" i="2"/>
  <c r="O868" i="2"/>
  <c r="N868" i="2"/>
  <c r="M868" i="2"/>
  <c r="L868" i="2"/>
  <c r="P868" i="2" s="1"/>
  <c r="R868" i="2" s="1"/>
  <c r="Q867" i="2"/>
  <c r="O867" i="2"/>
  <c r="N867" i="2"/>
  <c r="M867" i="2"/>
  <c r="L867" i="2"/>
  <c r="P867" i="2" s="1"/>
  <c r="R867" i="2" s="1"/>
  <c r="Q866" i="2"/>
  <c r="O866" i="2"/>
  <c r="N866" i="2"/>
  <c r="M866" i="2"/>
  <c r="L866" i="2"/>
  <c r="P866" i="2" s="1"/>
  <c r="R866" i="2" s="1"/>
  <c r="Q865" i="2"/>
  <c r="O865" i="2"/>
  <c r="N865" i="2"/>
  <c r="M865" i="2"/>
  <c r="L865" i="2"/>
  <c r="P865" i="2" s="1"/>
  <c r="R865" i="2" s="1"/>
  <c r="Q864" i="2"/>
  <c r="O864" i="2"/>
  <c r="N864" i="2"/>
  <c r="M864" i="2"/>
  <c r="L864" i="2"/>
  <c r="P864" i="2" s="1"/>
  <c r="R864" i="2" s="1"/>
  <c r="Q863" i="2"/>
  <c r="O863" i="2"/>
  <c r="N863" i="2"/>
  <c r="M863" i="2"/>
  <c r="L863" i="2"/>
  <c r="P863" i="2" s="1"/>
  <c r="R863" i="2" s="1"/>
  <c r="Q862" i="2"/>
  <c r="O862" i="2"/>
  <c r="N862" i="2"/>
  <c r="M862" i="2"/>
  <c r="L862" i="2"/>
  <c r="P862" i="2" s="1"/>
  <c r="R862" i="2" s="1"/>
  <c r="Q861" i="2"/>
  <c r="O861" i="2"/>
  <c r="N861" i="2"/>
  <c r="M861" i="2"/>
  <c r="L861" i="2"/>
  <c r="P861" i="2" s="1"/>
  <c r="R861" i="2" s="1"/>
  <c r="Q860" i="2"/>
  <c r="O860" i="2"/>
  <c r="N860" i="2"/>
  <c r="M860" i="2"/>
  <c r="L860" i="2"/>
  <c r="P860" i="2" s="1"/>
  <c r="R860" i="2" s="1"/>
  <c r="Q859" i="2"/>
  <c r="O859" i="2"/>
  <c r="N859" i="2"/>
  <c r="M859" i="2"/>
  <c r="L859" i="2"/>
  <c r="P859" i="2" s="1"/>
  <c r="R859" i="2" s="1"/>
  <c r="Q858" i="2"/>
  <c r="O858" i="2"/>
  <c r="N858" i="2"/>
  <c r="M858" i="2"/>
  <c r="L858" i="2"/>
  <c r="P858" i="2" s="1"/>
  <c r="R858" i="2" s="1"/>
  <c r="Q857" i="2"/>
  <c r="O857" i="2"/>
  <c r="N857" i="2"/>
  <c r="M857" i="2"/>
  <c r="L857" i="2"/>
  <c r="P857" i="2" s="1"/>
  <c r="R857" i="2" s="1"/>
  <c r="Q856" i="2"/>
  <c r="O856" i="2"/>
  <c r="N856" i="2"/>
  <c r="M856" i="2"/>
  <c r="L856" i="2"/>
  <c r="P856" i="2" s="1"/>
  <c r="R856" i="2" s="1"/>
  <c r="Q855" i="2"/>
  <c r="O855" i="2"/>
  <c r="N855" i="2"/>
  <c r="M855" i="2"/>
  <c r="L855" i="2"/>
  <c r="P855" i="2" s="1"/>
  <c r="R855" i="2" s="1"/>
  <c r="Q854" i="2"/>
  <c r="O854" i="2"/>
  <c r="N854" i="2"/>
  <c r="M854" i="2"/>
  <c r="L854" i="2"/>
  <c r="P854" i="2" s="1"/>
  <c r="R854" i="2" s="1"/>
  <c r="Q853" i="2"/>
  <c r="O853" i="2"/>
  <c r="N853" i="2"/>
  <c r="M853" i="2"/>
  <c r="L853" i="2"/>
  <c r="P853" i="2" s="1"/>
  <c r="R853" i="2" s="1"/>
  <c r="Q852" i="2"/>
  <c r="O852" i="2"/>
  <c r="N852" i="2"/>
  <c r="M852" i="2"/>
  <c r="L852" i="2"/>
  <c r="P852" i="2" s="1"/>
  <c r="R852" i="2" s="1"/>
  <c r="Q851" i="2"/>
  <c r="O851" i="2"/>
  <c r="N851" i="2"/>
  <c r="M851" i="2"/>
  <c r="L851" i="2"/>
  <c r="P851" i="2" s="1"/>
  <c r="R851" i="2" s="1"/>
  <c r="Q850" i="2"/>
  <c r="O850" i="2"/>
  <c r="N850" i="2"/>
  <c r="M850" i="2"/>
  <c r="L850" i="2"/>
  <c r="P850" i="2" s="1"/>
  <c r="R850" i="2" s="1"/>
  <c r="Q849" i="2"/>
  <c r="O849" i="2"/>
  <c r="N849" i="2"/>
  <c r="M849" i="2"/>
  <c r="L849" i="2"/>
  <c r="P849" i="2" s="1"/>
  <c r="R849" i="2" s="1"/>
  <c r="Q848" i="2"/>
  <c r="O848" i="2"/>
  <c r="N848" i="2"/>
  <c r="M848" i="2"/>
  <c r="L848" i="2"/>
  <c r="P848" i="2" s="1"/>
  <c r="R848" i="2" s="1"/>
  <c r="Q847" i="2"/>
  <c r="O847" i="2"/>
  <c r="N847" i="2"/>
  <c r="M847" i="2"/>
  <c r="L847" i="2"/>
  <c r="P847" i="2" s="1"/>
  <c r="R847" i="2" s="1"/>
  <c r="Q846" i="2"/>
  <c r="O846" i="2"/>
  <c r="N846" i="2"/>
  <c r="M846" i="2"/>
  <c r="L846" i="2"/>
  <c r="P846" i="2" s="1"/>
  <c r="R846" i="2" s="1"/>
  <c r="Q845" i="2"/>
  <c r="O845" i="2"/>
  <c r="N845" i="2"/>
  <c r="M845" i="2"/>
  <c r="L845" i="2"/>
  <c r="P845" i="2" s="1"/>
  <c r="R845" i="2" s="1"/>
  <c r="Q844" i="2"/>
  <c r="O844" i="2"/>
  <c r="N844" i="2"/>
  <c r="M844" i="2"/>
  <c r="L844" i="2"/>
  <c r="P844" i="2" s="1"/>
  <c r="R844" i="2" s="1"/>
  <c r="Q843" i="2"/>
  <c r="O843" i="2"/>
  <c r="N843" i="2"/>
  <c r="M843" i="2"/>
  <c r="L843" i="2"/>
  <c r="P843" i="2" s="1"/>
  <c r="R843" i="2" s="1"/>
  <c r="Q842" i="2"/>
  <c r="O842" i="2"/>
  <c r="N842" i="2"/>
  <c r="M842" i="2"/>
  <c r="L842" i="2"/>
  <c r="P842" i="2" s="1"/>
  <c r="R842" i="2" s="1"/>
  <c r="Q841" i="2"/>
  <c r="O841" i="2"/>
  <c r="N841" i="2"/>
  <c r="M841" i="2"/>
  <c r="L841" i="2"/>
  <c r="P841" i="2" s="1"/>
  <c r="R841" i="2" s="1"/>
  <c r="Q840" i="2"/>
  <c r="O840" i="2"/>
  <c r="N840" i="2"/>
  <c r="M840" i="2"/>
  <c r="L840" i="2"/>
  <c r="P840" i="2" s="1"/>
  <c r="R840" i="2" s="1"/>
  <c r="Q839" i="2"/>
  <c r="O839" i="2"/>
  <c r="N839" i="2"/>
  <c r="M839" i="2"/>
  <c r="L839" i="2"/>
  <c r="P839" i="2" s="1"/>
  <c r="R839" i="2" s="1"/>
  <c r="Q838" i="2"/>
  <c r="O838" i="2"/>
  <c r="N838" i="2"/>
  <c r="M838" i="2"/>
  <c r="L838" i="2"/>
  <c r="P838" i="2" s="1"/>
  <c r="R838" i="2" s="1"/>
  <c r="Q837" i="2"/>
  <c r="O837" i="2"/>
  <c r="N837" i="2"/>
  <c r="M837" i="2"/>
  <c r="L837" i="2"/>
  <c r="P837" i="2" s="1"/>
  <c r="R837" i="2" s="1"/>
  <c r="Q836" i="2"/>
  <c r="O836" i="2"/>
  <c r="N836" i="2"/>
  <c r="M836" i="2"/>
  <c r="L836" i="2"/>
  <c r="P836" i="2" s="1"/>
  <c r="R836" i="2" s="1"/>
  <c r="Q835" i="2"/>
  <c r="O835" i="2"/>
  <c r="N835" i="2"/>
  <c r="M835" i="2"/>
  <c r="L835" i="2"/>
  <c r="P835" i="2" s="1"/>
  <c r="R835" i="2" s="1"/>
  <c r="Q834" i="2"/>
  <c r="O834" i="2"/>
  <c r="N834" i="2"/>
  <c r="M834" i="2"/>
  <c r="L834" i="2"/>
  <c r="P834" i="2" s="1"/>
  <c r="R834" i="2" s="1"/>
  <c r="Q833" i="2"/>
  <c r="O833" i="2"/>
  <c r="N833" i="2"/>
  <c r="M833" i="2"/>
  <c r="L833" i="2"/>
  <c r="P833" i="2" s="1"/>
  <c r="R833" i="2" s="1"/>
  <c r="Q832" i="2"/>
  <c r="O832" i="2"/>
  <c r="N832" i="2"/>
  <c r="M832" i="2"/>
  <c r="L832" i="2"/>
  <c r="P832" i="2" s="1"/>
  <c r="R832" i="2" s="1"/>
  <c r="Q831" i="2"/>
  <c r="O831" i="2"/>
  <c r="N831" i="2"/>
  <c r="M831" i="2"/>
  <c r="L831" i="2"/>
  <c r="P831" i="2" s="1"/>
  <c r="R831" i="2" s="1"/>
  <c r="Q830" i="2"/>
  <c r="O830" i="2"/>
  <c r="N830" i="2"/>
  <c r="M830" i="2"/>
  <c r="L830" i="2"/>
  <c r="P830" i="2" s="1"/>
  <c r="R830" i="2" s="1"/>
  <c r="Q829" i="2"/>
  <c r="O829" i="2"/>
  <c r="N829" i="2"/>
  <c r="M829" i="2"/>
  <c r="L829" i="2"/>
  <c r="P829" i="2" s="1"/>
  <c r="R829" i="2" s="1"/>
  <c r="Q828" i="2"/>
  <c r="O828" i="2"/>
  <c r="N828" i="2"/>
  <c r="M828" i="2"/>
  <c r="L828" i="2"/>
  <c r="P828" i="2" s="1"/>
  <c r="R828" i="2" s="1"/>
  <c r="Q827" i="2"/>
  <c r="O827" i="2"/>
  <c r="N827" i="2"/>
  <c r="M827" i="2"/>
  <c r="L827" i="2"/>
  <c r="P827" i="2" s="1"/>
  <c r="R827" i="2" s="1"/>
  <c r="Q826" i="2"/>
  <c r="O826" i="2"/>
  <c r="N826" i="2"/>
  <c r="M826" i="2"/>
  <c r="L826" i="2"/>
  <c r="P826" i="2" s="1"/>
  <c r="R826" i="2" s="1"/>
  <c r="Q825" i="2"/>
  <c r="O825" i="2"/>
  <c r="N825" i="2"/>
  <c r="M825" i="2"/>
  <c r="L825" i="2"/>
  <c r="P825" i="2" s="1"/>
  <c r="R825" i="2" s="1"/>
  <c r="Q824" i="2"/>
  <c r="O824" i="2"/>
  <c r="N824" i="2"/>
  <c r="M824" i="2"/>
  <c r="L824" i="2"/>
  <c r="P824" i="2" s="1"/>
  <c r="R824" i="2" s="1"/>
  <c r="Q823" i="2"/>
  <c r="O823" i="2"/>
  <c r="N823" i="2"/>
  <c r="M823" i="2"/>
  <c r="L823" i="2"/>
  <c r="P823" i="2" s="1"/>
  <c r="R823" i="2" s="1"/>
  <c r="Q822" i="2"/>
  <c r="O822" i="2"/>
  <c r="N822" i="2"/>
  <c r="M822" i="2"/>
  <c r="L822" i="2"/>
  <c r="P822" i="2" s="1"/>
  <c r="R822" i="2" s="1"/>
  <c r="Q821" i="2"/>
  <c r="O821" i="2"/>
  <c r="N821" i="2"/>
  <c r="M821" i="2"/>
  <c r="L821" i="2"/>
  <c r="P821" i="2" s="1"/>
  <c r="R821" i="2" s="1"/>
  <c r="Q820" i="2"/>
  <c r="O820" i="2"/>
  <c r="N820" i="2"/>
  <c r="M820" i="2"/>
  <c r="L820" i="2"/>
  <c r="P820" i="2" s="1"/>
  <c r="R820" i="2" s="1"/>
  <c r="Q819" i="2"/>
  <c r="O819" i="2"/>
  <c r="N819" i="2"/>
  <c r="M819" i="2"/>
  <c r="L819" i="2"/>
  <c r="P819" i="2" s="1"/>
  <c r="R819" i="2" s="1"/>
  <c r="Q818" i="2"/>
  <c r="O818" i="2"/>
  <c r="N818" i="2"/>
  <c r="M818" i="2"/>
  <c r="L818" i="2"/>
  <c r="P818" i="2" s="1"/>
  <c r="R818" i="2" s="1"/>
  <c r="Q817" i="2"/>
  <c r="O817" i="2"/>
  <c r="N817" i="2"/>
  <c r="M817" i="2"/>
  <c r="L817" i="2"/>
  <c r="P817" i="2" s="1"/>
  <c r="R817" i="2" s="1"/>
  <c r="Q816" i="2"/>
  <c r="O816" i="2"/>
  <c r="N816" i="2"/>
  <c r="M816" i="2"/>
  <c r="L816" i="2"/>
  <c r="P816" i="2" s="1"/>
  <c r="R816" i="2" s="1"/>
  <c r="Q815" i="2"/>
  <c r="O815" i="2"/>
  <c r="N815" i="2"/>
  <c r="M815" i="2"/>
  <c r="L815" i="2"/>
  <c r="P815" i="2" s="1"/>
  <c r="R815" i="2" s="1"/>
  <c r="Q814" i="2"/>
  <c r="O814" i="2"/>
  <c r="N814" i="2"/>
  <c r="M814" i="2"/>
  <c r="L814" i="2"/>
  <c r="P814" i="2" s="1"/>
  <c r="R814" i="2" s="1"/>
  <c r="Q813" i="2"/>
  <c r="O813" i="2"/>
  <c r="N813" i="2"/>
  <c r="M813" i="2"/>
  <c r="L813" i="2"/>
  <c r="P813" i="2" s="1"/>
  <c r="R813" i="2" s="1"/>
  <c r="Q812" i="2"/>
  <c r="O812" i="2"/>
  <c r="N812" i="2"/>
  <c r="M812" i="2"/>
  <c r="L812" i="2"/>
  <c r="P812" i="2" s="1"/>
  <c r="R812" i="2" s="1"/>
  <c r="Q811" i="2"/>
  <c r="O811" i="2"/>
  <c r="N811" i="2"/>
  <c r="M811" i="2"/>
  <c r="L811" i="2"/>
  <c r="P811" i="2" s="1"/>
  <c r="R811" i="2" s="1"/>
  <c r="Q810" i="2"/>
  <c r="O810" i="2"/>
  <c r="N810" i="2"/>
  <c r="M810" i="2"/>
  <c r="L810" i="2"/>
  <c r="P810" i="2" s="1"/>
  <c r="R810" i="2" s="1"/>
  <c r="Q809" i="2"/>
  <c r="O809" i="2"/>
  <c r="N809" i="2"/>
  <c r="M809" i="2"/>
  <c r="L809" i="2"/>
  <c r="P809" i="2" s="1"/>
  <c r="R809" i="2" s="1"/>
  <c r="Q808" i="2"/>
  <c r="O808" i="2"/>
  <c r="N808" i="2"/>
  <c r="M808" i="2"/>
  <c r="L808" i="2"/>
  <c r="P808" i="2" s="1"/>
  <c r="R808" i="2" s="1"/>
  <c r="Q807" i="2"/>
  <c r="O807" i="2"/>
  <c r="N807" i="2"/>
  <c r="M807" i="2"/>
  <c r="L807" i="2"/>
  <c r="P807" i="2" s="1"/>
  <c r="R807" i="2" s="1"/>
  <c r="Q806" i="2"/>
  <c r="O806" i="2"/>
  <c r="N806" i="2"/>
  <c r="M806" i="2"/>
  <c r="L806" i="2"/>
  <c r="P806" i="2" s="1"/>
  <c r="R806" i="2" s="1"/>
  <c r="Q805" i="2"/>
  <c r="O805" i="2"/>
  <c r="N805" i="2"/>
  <c r="M805" i="2"/>
  <c r="L805" i="2"/>
  <c r="P805" i="2" s="1"/>
  <c r="R805" i="2" s="1"/>
  <c r="Q804" i="2"/>
  <c r="O804" i="2"/>
  <c r="N804" i="2"/>
  <c r="M804" i="2"/>
  <c r="L804" i="2"/>
  <c r="P804" i="2" s="1"/>
  <c r="R804" i="2" s="1"/>
  <c r="Q803" i="2"/>
  <c r="O803" i="2"/>
  <c r="N803" i="2"/>
  <c r="M803" i="2"/>
  <c r="L803" i="2"/>
  <c r="P803" i="2" s="1"/>
  <c r="R803" i="2" s="1"/>
  <c r="Q802" i="2"/>
  <c r="O802" i="2"/>
  <c r="N802" i="2"/>
  <c r="M802" i="2"/>
  <c r="L802" i="2"/>
  <c r="P802" i="2" s="1"/>
  <c r="R802" i="2" s="1"/>
  <c r="Q801" i="2"/>
  <c r="O801" i="2"/>
  <c r="N801" i="2"/>
  <c r="M801" i="2"/>
  <c r="L801" i="2"/>
  <c r="P801" i="2" s="1"/>
  <c r="R801" i="2" s="1"/>
  <c r="Q800" i="2"/>
  <c r="O800" i="2"/>
  <c r="N800" i="2"/>
  <c r="M800" i="2"/>
  <c r="L800" i="2"/>
  <c r="P800" i="2" s="1"/>
  <c r="R800" i="2" s="1"/>
  <c r="Q799" i="2"/>
  <c r="O799" i="2"/>
  <c r="N799" i="2"/>
  <c r="M799" i="2"/>
  <c r="L799" i="2"/>
  <c r="P799" i="2" s="1"/>
  <c r="R799" i="2" s="1"/>
  <c r="Q798" i="2"/>
  <c r="O798" i="2"/>
  <c r="N798" i="2"/>
  <c r="M798" i="2"/>
  <c r="L798" i="2"/>
  <c r="P798" i="2" s="1"/>
  <c r="R798" i="2" s="1"/>
  <c r="Q797" i="2"/>
  <c r="O797" i="2"/>
  <c r="N797" i="2"/>
  <c r="M797" i="2"/>
  <c r="L797" i="2"/>
  <c r="P797" i="2" s="1"/>
  <c r="R797" i="2" s="1"/>
  <c r="Q796" i="2"/>
  <c r="O796" i="2"/>
  <c r="N796" i="2"/>
  <c r="M796" i="2"/>
  <c r="L796" i="2"/>
  <c r="P796" i="2" s="1"/>
  <c r="R796" i="2" s="1"/>
  <c r="Q795" i="2"/>
  <c r="O795" i="2"/>
  <c r="N795" i="2"/>
  <c r="M795" i="2"/>
  <c r="L795" i="2"/>
  <c r="P795" i="2" s="1"/>
  <c r="R795" i="2" s="1"/>
  <c r="Q794" i="2"/>
  <c r="O794" i="2"/>
  <c r="N794" i="2"/>
  <c r="M794" i="2"/>
  <c r="L794" i="2"/>
  <c r="P794" i="2" s="1"/>
  <c r="R794" i="2" s="1"/>
  <c r="Q793" i="2"/>
  <c r="O793" i="2"/>
  <c r="N793" i="2"/>
  <c r="M793" i="2"/>
  <c r="L793" i="2"/>
  <c r="P793" i="2" s="1"/>
  <c r="R793" i="2" s="1"/>
  <c r="Q792" i="2"/>
  <c r="O792" i="2"/>
  <c r="N792" i="2"/>
  <c r="M792" i="2"/>
  <c r="L792" i="2"/>
  <c r="P792" i="2" s="1"/>
  <c r="R792" i="2" s="1"/>
  <c r="Q791" i="2"/>
  <c r="O791" i="2"/>
  <c r="N791" i="2"/>
  <c r="M791" i="2"/>
  <c r="L791" i="2"/>
  <c r="P791" i="2" s="1"/>
  <c r="R791" i="2" s="1"/>
  <c r="Q790" i="2"/>
  <c r="O790" i="2"/>
  <c r="N790" i="2"/>
  <c r="M790" i="2"/>
  <c r="L790" i="2"/>
  <c r="P790" i="2" s="1"/>
  <c r="R790" i="2" s="1"/>
  <c r="Q789" i="2"/>
  <c r="O789" i="2"/>
  <c r="N789" i="2"/>
  <c r="M789" i="2"/>
  <c r="L789" i="2"/>
  <c r="P789" i="2" s="1"/>
  <c r="R789" i="2" s="1"/>
  <c r="Q788" i="2"/>
  <c r="O788" i="2"/>
  <c r="N788" i="2"/>
  <c r="M788" i="2"/>
  <c r="L788" i="2"/>
  <c r="P788" i="2" s="1"/>
  <c r="R788" i="2" s="1"/>
  <c r="Q787" i="2"/>
  <c r="O787" i="2"/>
  <c r="N787" i="2"/>
  <c r="M787" i="2"/>
  <c r="L787" i="2"/>
  <c r="P787" i="2" s="1"/>
  <c r="R787" i="2" s="1"/>
  <c r="Q786" i="2"/>
  <c r="O786" i="2"/>
  <c r="N786" i="2"/>
  <c r="M786" i="2"/>
  <c r="L786" i="2"/>
  <c r="P786" i="2" s="1"/>
  <c r="R786" i="2" s="1"/>
  <c r="Q785" i="2"/>
  <c r="O785" i="2"/>
  <c r="N785" i="2"/>
  <c r="M785" i="2"/>
  <c r="L785" i="2"/>
  <c r="P785" i="2" s="1"/>
  <c r="R785" i="2" s="1"/>
  <c r="Q784" i="2"/>
  <c r="O784" i="2"/>
  <c r="N784" i="2"/>
  <c r="M784" i="2"/>
  <c r="L784" i="2"/>
  <c r="P784" i="2" s="1"/>
  <c r="R784" i="2" s="1"/>
  <c r="Q783" i="2"/>
  <c r="O783" i="2"/>
  <c r="N783" i="2"/>
  <c r="M783" i="2"/>
  <c r="L783" i="2"/>
  <c r="P783" i="2" s="1"/>
  <c r="R783" i="2" s="1"/>
  <c r="Q782" i="2"/>
  <c r="O782" i="2"/>
  <c r="N782" i="2"/>
  <c r="M782" i="2"/>
  <c r="L782" i="2"/>
  <c r="P782" i="2" s="1"/>
  <c r="R782" i="2" s="1"/>
  <c r="Q781" i="2"/>
  <c r="O781" i="2"/>
  <c r="N781" i="2"/>
  <c r="M781" i="2"/>
  <c r="L781" i="2"/>
  <c r="P781" i="2" s="1"/>
  <c r="R781" i="2" s="1"/>
  <c r="Q780" i="2"/>
  <c r="O780" i="2"/>
  <c r="N780" i="2"/>
  <c r="M780" i="2"/>
  <c r="L780" i="2"/>
  <c r="P780" i="2" s="1"/>
  <c r="R780" i="2" s="1"/>
  <c r="Q779" i="2"/>
  <c r="O779" i="2"/>
  <c r="N779" i="2"/>
  <c r="M779" i="2"/>
  <c r="L779" i="2"/>
  <c r="P779" i="2" s="1"/>
  <c r="R779" i="2" s="1"/>
  <c r="Q778" i="2"/>
  <c r="O778" i="2"/>
  <c r="N778" i="2"/>
  <c r="M778" i="2"/>
  <c r="L778" i="2"/>
  <c r="P778" i="2" s="1"/>
  <c r="R778" i="2" s="1"/>
  <c r="Q777" i="2"/>
  <c r="O777" i="2"/>
  <c r="N777" i="2"/>
  <c r="M777" i="2"/>
  <c r="L777" i="2"/>
  <c r="P777" i="2" s="1"/>
  <c r="R777" i="2" s="1"/>
  <c r="Q776" i="2"/>
  <c r="O776" i="2"/>
  <c r="N776" i="2"/>
  <c r="M776" i="2"/>
  <c r="L776" i="2"/>
  <c r="P776" i="2" s="1"/>
  <c r="R776" i="2" s="1"/>
  <c r="Q775" i="2"/>
  <c r="O775" i="2"/>
  <c r="N775" i="2"/>
  <c r="M775" i="2"/>
  <c r="L775" i="2"/>
  <c r="P775" i="2" s="1"/>
  <c r="R775" i="2" s="1"/>
  <c r="Q774" i="2"/>
  <c r="O774" i="2"/>
  <c r="N774" i="2"/>
  <c r="M774" i="2"/>
  <c r="L774" i="2"/>
  <c r="P774" i="2" s="1"/>
  <c r="R774" i="2" s="1"/>
  <c r="Q773" i="2"/>
  <c r="O773" i="2"/>
  <c r="N773" i="2"/>
  <c r="M773" i="2"/>
  <c r="L773" i="2"/>
  <c r="P773" i="2" s="1"/>
  <c r="R773" i="2" s="1"/>
  <c r="Q772" i="2"/>
  <c r="O772" i="2"/>
  <c r="N772" i="2"/>
  <c r="M772" i="2"/>
  <c r="L772" i="2"/>
  <c r="P772" i="2" s="1"/>
  <c r="R772" i="2" s="1"/>
  <c r="Q771" i="2"/>
  <c r="O771" i="2"/>
  <c r="N771" i="2"/>
  <c r="M771" i="2"/>
  <c r="L771" i="2"/>
  <c r="P771" i="2" s="1"/>
  <c r="R771" i="2" s="1"/>
  <c r="Q770" i="2"/>
  <c r="O770" i="2"/>
  <c r="N770" i="2"/>
  <c r="M770" i="2"/>
  <c r="L770" i="2"/>
  <c r="P770" i="2" s="1"/>
  <c r="R770" i="2" s="1"/>
  <c r="Q769" i="2"/>
  <c r="O769" i="2"/>
  <c r="N769" i="2"/>
  <c r="M769" i="2"/>
  <c r="L769" i="2"/>
  <c r="P769" i="2" s="1"/>
  <c r="R769" i="2" s="1"/>
  <c r="Q768" i="2"/>
  <c r="O768" i="2"/>
  <c r="N768" i="2"/>
  <c r="M768" i="2"/>
  <c r="L768" i="2"/>
  <c r="P768" i="2" s="1"/>
  <c r="R768" i="2" s="1"/>
  <c r="Q767" i="2"/>
  <c r="O767" i="2"/>
  <c r="N767" i="2"/>
  <c r="M767" i="2"/>
  <c r="L767" i="2"/>
  <c r="P767" i="2" s="1"/>
  <c r="R767" i="2" s="1"/>
  <c r="Q766" i="2"/>
  <c r="O766" i="2"/>
  <c r="N766" i="2"/>
  <c r="M766" i="2"/>
  <c r="L766" i="2"/>
  <c r="P766" i="2" s="1"/>
  <c r="R766" i="2" s="1"/>
  <c r="Q765" i="2"/>
  <c r="O765" i="2"/>
  <c r="N765" i="2"/>
  <c r="M765" i="2"/>
  <c r="L765" i="2"/>
  <c r="P765" i="2" s="1"/>
  <c r="R765" i="2" s="1"/>
  <c r="Q764" i="2"/>
  <c r="O764" i="2"/>
  <c r="N764" i="2"/>
  <c r="M764" i="2"/>
  <c r="L764" i="2"/>
  <c r="P764" i="2" s="1"/>
  <c r="R764" i="2" s="1"/>
  <c r="Q763" i="2"/>
  <c r="O763" i="2"/>
  <c r="N763" i="2"/>
  <c r="M763" i="2"/>
  <c r="L763" i="2"/>
  <c r="P763" i="2" s="1"/>
  <c r="R763" i="2" s="1"/>
  <c r="Q762" i="2"/>
  <c r="O762" i="2"/>
  <c r="N762" i="2"/>
  <c r="M762" i="2"/>
  <c r="L762" i="2"/>
  <c r="P762" i="2" s="1"/>
  <c r="R762" i="2" s="1"/>
  <c r="Q761" i="2"/>
  <c r="O761" i="2"/>
  <c r="N761" i="2"/>
  <c r="M761" i="2"/>
  <c r="L761" i="2"/>
  <c r="P761" i="2" s="1"/>
  <c r="R761" i="2" s="1"/>
  <c r="Q760" i="2"/>
  <c r="O760" i="2"/>
  <c r="N760" i="2"/>
  <c r="M760" i="2"/>
  <c r="L760" i="2"/>
  <c r="P760" i="2" s="1"/>
  <c r="R760" i="2" s="1"/>
  <c r="Q759" i="2"/>
  <c r="O759" i="2"/>
  <c r="N759" i="2"/>
  <c r="M759" i="2"/>
  <c r="L759" i="2"/>
  <c r="P759" i="2" s="1"/>
  <c r="R759" i="2" s="1"/>
  <c r="Q758" i="2"/>
  <c r="O758" i="2"/>
  <c r="N758" i="2"/>
  <c r="M758" i="2"/>
  <c r="L758" i="2"/>
  <c r="P758" i="2" s="1"/>
  <c r="R758" i="2" s="1"/>
  <c r="Q757" i="2"/>
  <c r="O757" i="2"/>
  <c r="N757" i="2"/>
  <c r="M757" i="2"/>
  <c r="L757" i="2"/>
  <c r="P757" i="2" s="1"/>
  <c r="R757" i="2" s="1"/>
  <c r="Q756" i="2"/>
  <c r="O756" i="2"/>
  <c r="N756" i="2"/>
  <c r="M756" i="2"/>
  <c r="L756" i="2"/>
  <c r="P756" i="2" s="1"/>
  <c r="R756" i="2" s="1"/>
  <c r="Q755" i="2"/>
  <c r="O755" i="2"/>
  <c r="N755" i="2"/>
  <c r="M755" i="2"/>
  <c r="L755" i="2"/>
  <c r="P755" i="2" s="1"/>
  <c r="R755" i="2" s="1"/>
  <c r="Q754" i="2"/>
  <c r="O754" i="2"/>
  <c r="N754" i="2"/>
  <c r="M754" i="2"/>
  <c r="L754" i="2"/>
  <c r="P754" i="2" s="1"/>
  <c r="R754" i="2" s="1"/>
  <c r="Q753" i="2"/>
  <c r="O753" i="2"/>
  <c r="N753" i="2"/>
  <c r="M753" i="2"/>
  <c r="L753" i="2"/>
  <c r="P753" i="2" s="1"/>
  <c r="R753" i="2" s="1"/>
  <c r="Q752" i="2"/>
  <c r="O752" i="2"/>
  <c r="N752" i="2"/>
  <c r="M752" i="2"/>
  <c r="L752" i="2"/>
  <c r="P752" i="2" s="1"/>
  <c r="R752" i="2" s="1"/>
  <c r="Q751" i="2"/>
  <c r="O751" i="2"/>
  <c r="N751" i="2"/>
  <c r="M751" i="2"/>
  <c r="L751" i="2"/>
  <c r="P751" i="2" s="1"/>
  <c r="R751" i="2" s="1"/>
  <c r="Q750" i="2"/>
  <c r="O750" i="2"/>
  <c r="N750" i="2"/>
  <c r="M750" i="2"/>
  <c r="L750" i="2"/>
  <c r="P750" i="2" s="1"/>
  <c r="R750" i="2" s="1"/>
  <c r="Q749" i="2"/>
  <c r="O749" i="2"/>
  <c r="N749" i="2"/>
  <c r="M749" i="2"/>
  <c r="L749" i="2"/>
  <c r="P749" i="2" s="1"/>
  <c r="R749" i="2" s="1"/>
  <c r="Q748" i="2"/>
  <c r="O748" i="2"/>
  <c r="N748" i="2"/>
  <c r="M748" i="2"/>
  <c r="L748" i="2"/>
  <c r="P748" i="2" s="1"/>
  <c r="R748" i="2" s="1"/>
  <c r="Q747" i="2"/>
  <c r="O747" i="2"/>
  <c r="N747" i="2"/>
  <c r="M747" i="2"/>
  <c r="L747" i="2"/>
  <c r="P747" i="2" s="1"/>
  <c r="R747" i="2" s="1"/>
  <c r="Q746" i="2"/>
  <c r="O746" i="2"/>
  <c r="N746" i="2"/>
  <c r="M746" i="2"/>
  <c r="L746" i="2"/>
  <c r="P746" i="2" s="1"/>
  <c r="R746" i="2" s="1"/>
  <c r="Q745" i="2"/>
  <c r="O745" i="2"/>
  <c r="N745" i="2"/>
  <c r="M745" i="2"/>
  <c r="L745" i="2"/>
  <c r="P745" i="2" s="1"/>
  <c r="R745" i="2" s="1"/>
  <c r="Q744" i="2"/>
  <c r="O744" i="2"/>
  <c r="N744" i="2"/>
  <c r="M744" i="2"/>
  <c r="L744" i="2"/>
  <c r="P744" i="2" s="1"/>
  <c r="R744" i="2" s="1"/>
  <c r="Q743" i="2"/>
  <c r="O743" i="2"/>
  <c r="N743" i="2"/>
  <c r="M743" i="2"/>
  <c r="L743" i="2"/>
  <c r="P743" i="2" s="1"/>
  <c r="R743" i="2" s="1"/>
  <c r="Q742" i="2"/>
  <c r="O742" i="2"/>
  <c r="N742" i="2"/>
  <c r="M742" i="2"/>
  <c r="L742" i="2"/>
  <c r="P742" i="2" s="1"/>
  <c r="R742" i="2" s="1"/>
  <c r="Q741" i="2"/>
  <c r="O741" i="2"/>
  <c r="N741" i="2"/>
  <c r="M741" i="2"/>
  <c r="L741" i="2"/>
  <c r="P741" i="2" s="1"/>
  <c r="R741" i="2" s="1"/>
  <c r="Q740" i="2"/>
  <c r="O740" i="2"/>
  <c r="N740" i="2"/>
  <c r="M740" i="2"/>
  <c r="L740" i="2"/>
  <c r="P740" i="2" s="1"/>
  <c r="R740" i="2" s="1"/>
  <c r="Q739" i="2"/>
  <c r="O739" i="2"/>
  <c r="N739" i="2"/>
  <c r="M739" i="2"/>
  <c r="L739" i="2"/>
  <c r="P739" i="2" s="1"/>
  <c r="R739" i="2" s="1"/>
  <c r="Q738" i="2"/>
  <c r="O738" i="2"/>
  <c r="N738" i="2"/>
  <c r="M738" i="2"/>
  <c r="L738" i="2"/>
  <c r="P738" i="2" s="1"/>
  <c r="R738" i="2" s="1"/>
  <c r="Q737" i="2"/>
  <c r="O737" i="2"/>
  <c r="N737" i="2"/>
  <c r="M737" i="2"/>
  <c r="L737" i="2"/>
  <c r="P737" i="2" s="1"/>
  <c r="R737" i="2" s="1"/>
  <c r="Q736" i="2"/>
  <c r="O736" i="2"/>
  <c r="N736" i="2"/>
  <c r="M736" i="2"/>
  <c r="L736" i="2"/>
  <c r="P736" i="2" s="1"/>
  <c r="R736" i="2" s="1"/>
  <c r="Q735" i="2"/>
  <c r="O735" i="2"/>
  <c r="N735" i="2"/>
  <c r="M735" i="2"/>
  <c r="L735" i="2"/>
  <c r="P735" i="2" s="1"/>
  <c r="R735" i="2" s="1"/>
  <c r="Q734" i="2"/>
  <c r="O734" i="2"/>
  <c r="N734" i="2"/>
  <c r="M734" i="2"/>
  <c r="L734" i="2"/>
  <c r="P734" i="2" s="1"/>
  <c r="R734" i="2" s="1"/>
  <c r="Q733" i="2"/>
  <c r="O733" i="2"/>
  <c r="N733" i="2"/>
  <c r="M733" i="2"/>
  <c r="L733" i="2"/>
  <c r="P733" i="2" s="1"/>
  <c r="R733" i="2" s="1"/>
  <c r="Q732" i="2"/>
  <c r="O732" i="2"/>
  <c r="N732" i="2"/>
  <c r="M732" i="2"/>
  <c r="L732" i="2"/>
  <c r="P732" i="2" s="1"/>
  <c r="R732" i="2" s="1"/>
  <c r="Q731" i="2"/>
  <c r="O731" i="2"/>
  <c r="N731" i="2"/>
  <c r="M731" i="2"/>
  <c r="L731" i="2"/>
  <c r="P731" i="2" s="1"/>
  <c r="R731" i="2" s="1"/>
  <c r="Q730" i="2"/>
  <c r="O730" i="2"/>
  <c r="N730" i="2"/>
  <c r="M730" i="2"/>
  <c r="L730" i="2"/>
  <c r="P730" i="2" s="1"/>
  <c r="R730" i="2" s="1"/>
  <c r="Q729" i="2"/>
  <c r="O729" i="2"/>
  <c r="N729" i="2"/>
  <c r="M729" i="2"/>
  <c r="L729" i="2"/>
  <c r="P729" i="2" s="1"/>
  <c r="R729" i="2" s="1"/>
  <c r="Q728" i="2"/>
  <c r="O728" i="2"/>
  <c r="N728" i="2"/>
  <c r="M728" i="2"/>
  <c r="L728" i="2"/>
  <c r="P728" i="2" s="1"/>
  <c r="R728" i="2" s="1"/>
  <c r="Q727" i="2"/>
  <c r="O727" i="2"/>
  <c r="N727" i="2"/>
  <c r="M727" i="2"/>
  <c r="L727" i="2"/>
  <c r="P727" i="2" s="1"/>
  <c r="R727" i="2" s="1"/>
  <c r="Q726" i="2"/>
  <c r="O726" i="2"/>
  <c r="N726" i="2"/>
  <c r="M726" i="2"/>
  <c r="L726" i="2"/>
  <c r="P726" i="2" s="1"/>
  <c r="R726" i="2" s="1"/>
  <c r="Q725" i="2"/>
  <c r="O725" i="2"/>
  <c r="N725" i="2"/>
  <c r="M725" i="2"/>
  <c r="L725" i="2"/>
  <c r="P725" i="2" s="1"/>
  <c r="R725" i="2" s="1"/>
  <c r="Q724" i="2"/>
  <c r="O724" i="2"/>
  <c r="N724" i="2"/>
  <c r="M724" i="2"/>
  <c r="L724" i="2"/>
  <c r="P724" i="2" s="1"/>
  <c r="R724" i="2" s="1"/>
  <c r="Q723" i="2"/>
  <c r="O723" i="2"/>
  <c r="N723" i="2"/>
  <c r="M723" i="2"/>
  <c r="L723" i="2"/>
  <c r="P723" i="2" s="1"/>
  <c r="R723" i="2" s="1"/>
  <c r="Q722" i="2"/>
  <c r="O722" i="2"/>
  <c r="N722" i="2"/>
  <c r="M722" i="2"/>
  <c r="L722" i="2"/>
  <c r="P722" i="2" s="1"/>
  <c r="R722" i="2" s="1"/>
  <c r="Q721" i="2"/>
  <c r="O721" i="2"/>
  <c r="N721" i="2"/>
  <c r="M721" i="2"/>
  <c r="L721" i="2"/>
  <c r="P721" i="2" s="1"/>
  <c r="R721" i="2" s="1"/>
  <c r="Q720" i="2"/>
  <c r="O720" i="2"/>
  <c r="N720" i="2"/>
  <c r="M720" i="2"/>
  <c r="L720" i="2"/>
  <c r="P720" i="2" s="1"/>
  <c r="R720" i="2" s="1"/>
  <c r="Q719" i="2"/>
  <c r="O719" i="2"/>
  <c r="N719" i="2"/>
  <c r="M719" i="2"/>
  <c r="L719" i="2"/>
  <c r="P719" i="2" s="1"/>
  <c r="R719" i="2" s="1"/>
  <c r="Q718" i="2"/>
  <c r="O718" i="2"/>
  <c r="N718" i="2"/>
  <c r="M718" i="2"/>
  <c r="L718" i="2"/>
  <c r="P718" i="2" s="1"/>
  <c r="R718" i="2" s="1"/>
  <c r="Q717" i="2"/>
  <c r="O717" i="2"/>
  <c r="N717" i="2"/>
  <c r="M717" i="2"/>
  <c r="L717" i="2"/>
  <c r="P717" i="2" s="1"/>
  <c r="R717" i="2" s="1"/>
  <c r="Q716" i="2"/>
  <c r="O716" i="2"/>
  <c r="N716" i="2"/>
  <c r="M716" i="2"/>
  <c r="L716" i="2"/>
  <c r="P716" i="2" s="1"/>
  <c r="R716" i="2" s="1"/>
  <c r="Q715" i="2"/>
  <c r="O715" i="2"/>
  <c r="N715" i="2"/>
  <c r="M715" i="2"/>
  <c r="L715" i="2"/>
  <c r="P715" i="2" s="1"/>
  <c r="R715" i="2" s="1"/>
  <c r="Q714" i="2"/>
  <c r="O714" i="2"/>
  <c r="N714" i="2"/>
  <c r="M714" i="2"/>
  <c r="L714" i="2"/>
  <c r="P714" i="2" s="1"/>
  <c r="R714" i="2" s="1"/>
  <c r="Q713" i="2"/>
  <c r="O713" i="2"/>
  <c r="N713" i="2"/>
  <c r="M713" i="2"/>
  <c r="L713" i="2"/>
  <c r="P713" i="2" s="1"/>
  <c r="R713" i="2" s="1"/>
  <c r="Q712" i="2"/>
  <c r="O712" i="2"/>
  <c r="N712" i="2"/>
  <c r="M712" i="2"/>
  <c r="L712" i="2"/>
  <c r="P712" i="2" s="1"/>
  <c r="R712" i="2" s="1"/>
  <c r="Q711" i="2"/>
  <c r="O711" i="2"/>
  <c r="N711" i="2"/>
  <c r="M711" i="2"/>
  <c r="L711" i="2"/>
  <c r="P711" i="2" s="1"/>
  <c r="R711" i="2" s="1"/>
  <c r="Q710" i="2"/>
  <c r="O710" i="2"/>
  <c r="N710" i="2"/>
  <c r="M710" i="2"/>
  <c r="L710" i="2"/>
  <c r="P710" i="2" s="1"/>
  <c r="R710" i="2" s="1"/>
  <c r="Q709" i="2"/>
  <c r="O709" i="2"/>
  <c r="N709" i="2"/>
  <c r="M709" i="2"/>
  <c r="L709" i="2"/>
  <c r="P709" i="2" s="1"/>
  <c r="R709" i="2" s="1"/>
  <c r="Q708" i="2"/>
  <c r="O708" i="2"/>
  <c r="N708" i="2"/>
  <c r="M708" i="2"/>
  <c r="L708" i="2"/>
  <c r="P708" i="2" s="1"/>
  <c r="R708" i="2" s="1"/>
  <c r="Q707" i="2"/>
  <c r="O707" i="2"/>
  <c r="N707" i="2"/>
  <c r="M707" i="2"/>
  <c r="L707" i="2"/>
  <c r="P707" i="2" s="1"/>
  <c r="R707" i="2" s="1"/>
  <c r="Q706" i="2"/>
  <c r="O706" i="2"/>
  <c r="N706" i="2"/>
  <c r="M706" i="2"/>
  <c r="L706" i="2"/>
  <c r="P706" i="2" s="1"/>
  <c r="R706" i="2" s="1"/>
  <c r="Q705" i="2"/>
  <c r="O705" i="2"/>
  <c r="N705" i="2"/>
  <c r="M705" i="2"/>
  <c r="L705" i="2"/>
  <c r="P705" i="2" s="1"/>
  <c r="R705" i="2" s="1"/>
  <c r="Q704" i="2"/>
  <c r="O704" i="2"/>
  <c r="N704" i="2"/>
  <c r="M704" i="2"/>
  <c r="L704" i="2"/>
  <c r="P704" i="2" s="1"/>
  <c r="R704" i="2" s="1"/>
  <c r="Q703" i="2"/>
  <c r="O703" i="2"/>
  <c r="N703" i="2"/>
  <c r="M703" i="2"/>
  <c r="L703" i="2"/>
  <c r="P703" i="2" s="1"/>
  <c r="R703" i="2" s="1"/>
  <c r="Q702" i="2"/>
  <c r="O702" i="2"/>
  <c r="N702" i="2"/>
  <c r="M702" i="2"/>
  <c r="L702" i="2"/>
  <c r="P702" i="2" s="1"/>
  <c r="R702" i="2" s="1"/>
  <c r="Q701" i="2"/>
  <c r="O701" i="2"/>
  <c r="N701" i="2"/>
  <c r="M701" i="2"/>
  <c r="L701" i="2"/>
  <c r="P701" i="2" s="1"/>
  <c r="R701" i="2" s="1"/>
  <c r="Q700" i="2"/>
  <c r="O700" i="2"/>
  <c r="N700" i="2"/>
  <c r="M700" i="2"/>
  <c r="L700" i="2"/>
  <c r="P700" i="2" s="1"/>
  <c r="R700" i="2" s="1"/>
  <c r="Q699" i="2"/>
  <c r="O699" i="2"/>
  <c r="N699" i="2"/>
  <c r="M699" i="2"/>
  <c r="L699" i="2"/>
  <c r="P699" i="2" s="1"/>
  <c r="R699" i="2" s="1"/>
  <c r="Q698" i="2"/>
  <c r="O698" i="2"/>
  <c r="N698" i="2"/>
  <c r="M698" i="2"/>
  <c r="L698" i="2"/>
  <c r="P698" i="2" s="1"/>
  <c r="R698" i="2" s="1"/>
  <c r="Q697" i="2"/>
  <c r="O697" i="2"/>
  <c r="N697" i="2"/>
  <c r="M697" i="2"/>
  <c r="L697" i="2"/>
  <c r="P697" i="2" s="1"/>
  <c r="R697" i="2" s="1"/>
  <c r="Q696" i="2"/>
  <c r="O696" i="2"/>
  <c r="N696" i="2"/>
  <c r="M696" i="2"/>
  <c r="L696" i="2"/>
  <c r="P696" i="2" s="1"/>
  <c r="R696" i="2" s="1"/>
  <c r="Q695" i="2"/>
  <c r="O695" i="2"/>
  <c r="N695" i="2"/>
  <c r="M695" i="2"/>
  <c r="L695" i="2"/>
  <c r="P695" i="2" s="1"/>
  <c r="R695" i="2" s="1"/>
  <c r="Q694" i="2"/>
  <c r="O694" i="2"/>
  <c r="N694" i="2"/>
  <c r="M694" i="2"/>
  <c r="L694" i="2"/>
  <c r="P694" i="2" s="1"/>
  <c r="R694" i="2" s="1"/>
  <c r="Q693" i="2"/>
  <c r="O693" i="2"/>
  <c r="N693" i="2"/>
  <c r="M693" i="2"/>
  <c r="L693" i="2"/>
  <c r="P693" i="2" s="1"/>
  <c r="R693" i="2" s="1"/>
  <c r="Q692" i="2"/>
  <c r="O692" i="2"/>
  <c r="N692" i="2"/>
  <c r="M692" i="2"/>
  <c r="L692" i="2"/>
  <c r="P692" i="2" s="1"/>
  <c r="R692" i="2" s="1"/>
  <c r="Q691" i="2"/>
  <c r="O691" i="2"/>
  <c r="N691" i="2"/>
  <c r="M691" i="2"/>
  <c r="L691" i="2"/>
  <c r="P691" i="2" s="1"/>
  <c r="R691" i="2" s="1"/>
  <c r="Q690" i="2"/>
  <c r="O690" i="2"/>
  <c r="N690" i="2"/>
  <c r="M690" i="2"/>
  <c r="L690" i="2"/>
  <c r="P690" i="2" s="1"/>
  <c r="R690" i="2" s="1"/>
  <c r="Q689" i="2"/>
  <c r="O689" i="2"/>
  <c r="N689" i="2"/>
  <c r="M689" i="2"/>
  <c r="L689" i="2"/>
  <c r="P689" i="2" s="1"/>
  <c r="R689" i="2" s="1"/>
  <c r="Q688" i="2"/>
  <c r="O688" i="2"/>
  <c r="N688" i="2"/>
  <c r="M688" i="2"/>
  <c r="L688" i="2"/>
  <c r="P688" i="2" s="1"/>
  <c r="R688" i="2" s="1"/>
  <c r="Q687" i="2"/>
  <c r="O687" i="2"/>
  <c r="N687" i="2"/>
  <c r="M687" i="2"/>
  <c r="L687" i="2"/>
  <c r="P687" i="2" s="1"/>
  <c r="R687" i="2" s="1"/>
  <c r="Q686" i="2"/>
  <c r="O686" i="2"/>
  <c r="N686" i="2"/>
  <c r="M686" i="2"/>
  <c r="L686" i="2"/>
  <c r="P686" i="2" s="1"/>
  <c r="R686" i="2" s="1"/>
  <c r="Q685" i="2"/>
  <c r="O685" i="2"/>
  <c r="N685" i="2"/>
  <c r="M685" i="2"/>
  <c r="L685" i="2"/>
  <c r="P685" i="2" s="1"/>
  <c r="R685" i="2" s="1"/>
  <c r="Q684" i="2"/>
  <c r="O684" i="2"/>
  <c r="N684" i="2"/>
  <c r="M684" i="2"/>
  <c r="L684" i="2"/>
  <c r="P684" i="2" s="1"/>
  <c r="R684" i="2" s="1"/>
  <c r="Q683" i="2"/>
  <c r="O683" i="2"/>
  <c r="N683" i="2"/>
  <c r="M683" i="2"/>
  <c r="L683" i="2"/>
  <c r="P683" i="2" s="1"/>
  <c r="R683" i="2" s="1"/>
  <c r="Q682" i="2"/>
  <c r="O682" i="2"/>
  <c r="N682" i="2"/>
  <c r="M682" i="2"/>
  <c r="L682" i="2"/>
  <c r="P682" i="2" s="1"/>
  <c r="R682" i="2" s="1"/>
  <c r="Q681" i="2"/>
  <c r="O681" i="2"/>
  <c r="N681" i="2"/>
  <c r="M681" i="2"/>
  <c r="L681" i="2"/>
  <c r="P681" i="2" s="1"/>
  <c r="R681" i="2" s="1"/>
  <c r="Q680" i="2"/>
  <c r="O680" i="2"/>
  <c r="N680" i="2"/>
  <c r="M680" i="2"/>
  <c r="L680" i="2"/>
  <c r="P680" i="2" s="1"/>
  <c r="R680" i="2" s="1"/>
  <c r="Q679" i="2"/>
  <c r="O679" i="2"/>
  <c r="N679" i="2"/>
  <c r="M679" i="2"/>
  <c r="L679" i="2"/>
  <c r="P679" i="2" s="1"/>
  <c r="R679" i="2" s="1"/>
  <c r="Q678" i="2"/>
  <c r="O678" i="2"/>
  <c r="N678" i="2"/>
  <c r="M678" i="2"/>
  <c r="L678" i="2"/>
  <c r="P678" i="2" s="1"/>
  <c r="R678" i="2" s="1"/>
  <c r="Q677" i="2"/>
  <c r="O677" i="2"/>
  <c r="N677" i="2"/>
  <c r="M677" i="2"/>
  <c r="L677" i="2"/>
  <c r="P677" i="2" s="1"/>
  <c r="R677" i="2" s="1"/>
  <c r="Q676" i="2"/>
  <c r="O676" i="2"/>
  <c r="N676" i="2"/>
  <c r="M676" i="2"/>
  <c r="L676" i="2"/>
  <c r="P676" i="2" s="1"/>
  <c r="R676" i="2" s="1"/>
  <c r="Q675" i="2"/>
  <c r="O675" i="2"/>
  <c r="N675" i="2"/>
  <c r="M675" i="2"/>
  <c r="L675" i="2"/>
  <c r="P675" i="2" s="1"/>
  <c r="R675" i="2" s="1"/>
  <c r="Q674" i="2"/>
  <c r="O674" i="2"/>
  <c r="N674" i="2"/>
  <c r="M674" i="2"/>
  <c r="L674" i="2"/>
  <c r="P674" i="2" s="1"/>
  <c r="R674" i="2" s="1"/>
  <c r="Q673" i="2"/>
  <c r="O673" i="2"/>
  <c r="N673" i="2"/>
  <c r="M673" i="2"/>
  <c r="L673" i="2"/>
  <c r="P673" i="2" s="1"/>
  <c r="R673" i="2" s="1"/>
  <c r="Q672" i="2"/>
  <c r="O672" i="2"/>
  <c r="N672" i="2"/>
  <c r="M672" i="2"/>
  <c r="L672" i="2"/>
  <c r="P672" i="2" s="1"/>
  <c r="R672" i="2" s="1"/>
  <c r="Q671" i="2"/>
  <c r="O671" i="2"/>
  <c r="N671" i="2"/>
  <c r="M671" i="2"/>
  <c r="L671" i="2"/>
  <c r="P671" i="2" s="1"/>
  <c r="R671" i="2" s="1"/>
  <c r="Q670" i="2"/>
  <c r="O670" i="2"/>
  <c r="N670" i="2"/>
  <c r="M670" i="2"/>
  <c r="L670" i="2"/>
  <c r="P670" i="2" s="1"/>
  <c r="R670" i="2" s="1"/>
  <c r="Q669" i="2"/>
  <c r="O669" i="2"/>
  <c r="N669" i="2"/>
  <c r="M669" i="2"/>
  <c r="L669" i="2"/>
  <c r="P669" i="2" s="1"/>
  <c r="R669" i="2" s="1"/>
  <c r="Q668" i="2"/>
  <c r="O668" i="2"/>
  <c r="N668" i="2"/>
  <c r="M668" i="2"/>
  <c r="L668" i="2"/>
  <c r="P668" i="2" s="1"/>
  <c r="R668" i="2" s="1"/>
  <c r="Q667" i="2"/>
  <c r="O667" i="2"/>
  <c r="N667" i="2"/>
  <c r="M667" i="2"/>
  <c r="L667" i="2"/>
  <c r="P667" i="2" s="1"/>
  <c r="R667" i="2" s="1"/>
  <c r="Q666" i="2"/>
  <c r="O666" i="2"/>
  <c r="N666" i="2"/>
  <c r="M666" i="2"/>
  <c r="L666" i="2"/>
  <c r="P666" i="2" s="1"/>
  <c r="R666" i="2" s="1"/>
  <c r="Q665" i="2"/>
  <c r="O665" i="2"/>
  <c r="N665" i="2"/>
  <c r="M665" i="2"/>
  <c r="L665" i="2"/>
  <c r="P665" i="2" s="1"/>
  <c r="R665" i="2" s="1"/>
  <c r="Q664" i="2"/>
  <c r="O664" i="2"/>
  <c r="N664" i="2"/>
  <c r="M664" i="2"/>
  <c r="L664" i="2"/>
  <c r="P664" i="2" s="1"/>
  <c r="R664" i="2" s="1"/>
  <c r="Q663" i="2"/>
  <c r="O663" i="2"/>
  <c r="N663" i="2"/>
  <c r="M663" i="2"/>
  <c r="L663" i="2"/>
  <c r="P663" i="2" s="1"/>
  <c r="R663" i="2" s="1"/>
  <c r="Q662" i="2"/>
  <c r="O662" i="2"/>
  <c r="N662" i="2"/>
  <c r="M662" i="2"/>
  <c r="L662" i="2"/>
  <c r="P662" i="2" s="1"/>
  <c r="R662" i="2" s="1"/>
  <c r="Q661" i="2"/>
  <c r="O661" i="2"/>
  <c r="N661" i="2"/>
  <c r="M661" i="2"/>
  <c r="L661" i="2"/>
  <c r="P661" i="2" s="1"/>
  <c r="R661" i="2" s="1"/>
  <c r="Q660" i="2"/>
  <c r="O660" i="2"/>
  <c r="N660" i="2"/>
  <c r="M660" i="2"/>
  <c r="L660" i="2"/>
  <c r="P660" i="2" s="1"/>
  <c r="R660" i="2" s="1"/>
  <c r="Q659" i="2"/>
  <c r="O659" i="2"/>
  <c r="N659" i="2"/>
  <c r="M659" i="2"/>
  <c r="L659" i="2"/>
  <c r="P659" i="2" s="1"/>
  <c r="R659" i="2" s="1"/>
  <c r="Q658" i="2"/>
  <c r="O658" i="2"/>
  <c r="N658" i="2"/>
  <c r="M658" i="2"/>
  <c r="L658" i="2"/>
  <c r="P658" i="2" s="1"/>
  <c r="R658" i="2" s="1"/>
  <c r="Q657" i="2"/>
  <c r="O657" i="2"/>
  <c r="N657" i="2"/>
  <c r="M657" i="2"/>
  <c r="L657" i="2"/>
  <c r="P657" i="2" s="1"/>
  <c r="R657" i="2" s="1"/>
  <c r="Q656" i="2"/>
  <c r="O656" i="2"/>
  <c r="N656" i="2"/>
  <c r="M656" i="2"/>
  <c r="L656" i="2"/>
  <c r="P656" i="2" s="1"/>
  <c r="R656" i="2" s="1"/>
  <c r="Q655" i="2"/>
  <c r="O655" i="2"/>
  <c r="N655" i="2"/>
  <c r="M655" i="2"/>
  <c r="L655" i="2"/>
  <c r="P655" i="2" s="1"/>
  <c r="R655" i="2" s="1"/>
  <c r="Q654" i="2"/>
  <c r="O654" i="2"/>
  <c r="N654" i="2"/>
  <c r="M654" i="2"/>
  <c r="L654" i="2"/>
  <c r="P654" i="2" s="1"/>
  <c r="R654" i="2" s="1"/>
  <c r="Q653" i="2"/>
  <c r="O653" i="2"/>
  <c r="N653" i="2"/>
  <c r="M653" i="2"/>
  <c r="L653" i="2"/>
  <c r="P653" i="2" s="1"/>
  <c r="R653" i="2" s="1"/>
  <c r="Q652" i="2"/>
  <c r="O652" i="2"/>
  <c r="N652" i="2"/>
  <c r="M652" i="2"/>
  <c r="L652" i="2"/>
  <c r="P652" i="2" s="1"/>
  <c r="R652" i="2" s="1"/>
  <c r="Q651" i="2"/>
  <c r="O651" i="2"/>
  <c r="N651" i="2"/>
  <c r="M651" i="2"/>
  <c r="L651" i="2"/>
  <c r="P651" i="2" s="1"/>
  <c r="R651" i="2" s="1"/>
  <c r="Q650" i="2"/>
  <c r="O650" i="2"/>
  <c r="N650" i="2"/>
  <c r="M650" i="2"/>
  <c r="L650" i="2"/>
  <c r="P650" i="2" s="1"/>
  <c r="R650" i="2" s="1"/>
  <c r="Q649" i="2"/>
  <c r="O649" i="2"/>
  <c r="N649" i="2"/>
  <c r="M649" i="2"/>
  <c r="L649" i="2"/>
  <c r="P649" i="2" s="1"/>
  <c r="R649" i="2" s="1"/>
  <c r="Q648" i="2"/>
  <c r="O648" i="2"/>
  <c r="N648" i="2"/>
  <c r="M648" i="2"/>
  <c r="L648" i="2"/>
  <c r="P648" i="2" s="1"/>
  <c r="R648" i="2" s="1"/>
  <c r="Q647" i="2"/>
  <c r="O647" i="2"/>
  <c r="N647" i="2"/>
  <c r="M647" i="2"/>
  <c r="L647" i="2"/>
  <c r="P647" i="2" s="1"/>
  <c r="R647" i="2" s="1"/>
  <c r="Q646" i="2"/>
  <c r="O646" i="2"/>
  <c r="N646" i="2"/>
  <c r="M646" i="2"/>
  <c r="L646" i="2"/>
  <c r="P646" i="2" s="1"/>
  <c r="R646" i="2" s="1"/>
  <c r="Q645" i="2"/>
  <c r="O645" i="2"/>
  <c r="N645" i="2"/>
  <c r="M645" i="2"/>
  <c r="L645" i="2"/>
  <c r="P645" i="2" s="1"/>
  <c r="R645" i="2" s="1"/>
  <c r="Q644" i="2"/>
  <c r="O644" i="2"/>
  <c r="N644" i="2"/>
  <c r="M644" i="2"/>
  <c r="L644" i="2"/>
  <c r="P644" i="2" s="1"/>
  <c r="R644" i="2" s="1"/>
  <c r="Q643" i="2"/>
  <c r="O643" i="2"/>
  <c r="N643" i="2"/>
  <c r="M643" i="2"/>
  <c r="L643" i="2"/>
  <c r="P643" i="2" s="1"/>
  <c r="R643" i="2" s="1"/>
  <c r="Q642" i="2"/>
  <c r="O642" i="2"/>
  <c r="N642" i="2"/>
  <c r="M642" i="2"/>
  <c r="L642" i="2"/>
  <c r="P642" i="2" s="1"/>
  <c r="R642" i="2" s="1"/>
  <c r="Q641" i="2"/>
  <c r="O641" i="2"/>
  <c r="N641" i="2"/>
  <c r="M641" i="2"/>
  <c r="L641" i="2"/>
  <c r="P641" i="2" s="1"/>
  <c r="R641" i="2" s="1"/>
  <c r="Q640" i="2"/>
  <c r="O640" i="2"/>
  <c r="N640" i="2"/>
  <c r="M640" i="2"/>
  <c r="L640" i="2"/>
  <c r="P640" i="2" s="1"/>
  <c r="R640" i="2" s="1"/>
  <c r="Q639" i="2"/>
  <c r="O639" i="2"/>
  <c r="N639" i="2"/>
  <c r="M639" i="2"/>
  <c r="L639" i="2"/>
  <c r="P639" i="2" s="1"/>
  <c r="R639" i="2" s="1"/>
  <c r="Q638" i="2"/>
  <c r="O638" i="2"/>
  <c r="N638" i="2"/>
  <c r="M638" i="2"/>
  <c r="L638" i="2"/>
  <c r="P638" i="2" s="1"/>
  <c r="R638" i="2" s="1"/>
  <c r="Q637" i="2"/>
  <c r="O637" i="2"/>
  <c r="N637" i="2"/>
  <c r="M637" i="2"/>
  <c r="L637" i="2"/>
  <c r="P637" i="2" s="1"/>
  <c r="R637" i="2" s="1"/>
  <c r="Q636" i="2"/>
  <c r="O636" i="2"/>
  <c r="N636" i="2"/>
  <c r="M636" i="2"/>
  <c r="L636" i="2"/>
  <c r="P636" i="2" s="1"/>
  <c r="R636" i="2" s="1"/>
  <c r="Q635" i="2"/>
  <c r="O635" i="2"/>
  <c r="N635" i="2"/>
  <c r="M635" i="2"/>
  <c r="L635" i="2"/>
  <c r="P635" i="2" s="1"/>
  <c r="R635" i="2" s="1"/>
  <c r="Q634" i="2"/>
  <c r="O634" i="2"/>
  <c r="N634" i="2"/>
  <c r="M634" i="2"/>
  <c r="L634" i="2"/>
  <c r="P634" i="2" s="1"/>
  <c r="R634" i="2" s="1"/>
  <c r="Q633" i="2"/>
  <c r="O633" i="2"/>
  <c r="N633" i="2"/>
  <c r="M633" i="2"/>
  <c r="L633" i="2"/>
  <c r="P633" i="2" s="1"/>
  <c r="R633" i="2" s="1"/>
  <c r="Q632" i="2"/>
  <c r="O632" i="2"/>
  <c r="N632" i="2"/>
  <c r="M632" i="2"/>
  <c r="L632" i="2"/>
  <c r="P632" i="2" s="1"/>
  <c r="R632" i="2" s="1"/>
  <c r="Q631" i="2"/>
  <c r="O631" i="2"/>
  <c r="N631" i="2"/>
  <c r="M631" i="2"/>
  <c r="L631" i="2"/>
  <c r="P631" i="2" s="1"/>
  <c r="R631" i="2" s="1"/>
  <c r="Q630" i="2"/>
  <c r="O630" i="2"/>
  <c r="N630" i="2"/>
  <c r="M630" i="2"/>
  <c r="L630" i="2"/>
  <c r="P630" i="2" s="1"/>
  <c r="R630" i="2" s="1"/>
  <c r="Q629" i="2"/>
  <c r="O629" i="2"/>
  <c r="N629" i="2"/>
  <c r="M629" i="2"/>
  <c r="L629" i="2"/>
  <c r="P629" i="2" s="1"/>
  <c r="R629" i="2" s="1"/>
  <c r="Q628" i="2"/>
  <c r="O628" i="2"/>
  <c r="N628" i="2"/>
  <c r="M628" i="2"/>
  <c r="L628" i="2"/>
  <c r="P628" i="2" s="1"/>
  <c r="R628" i="2" s="1"/>
  <c r="Q627" i="2"/>
  <c r="O627" i="2"/>
  <c r="N627" i="2"/>
  <c r="M627" i="2"/>
  <c r="L627" i="2"/>
  <c r="P627" i="2" s="1"/>
  <c r="R627" i="2" s="1"/>
  <c r="Q626" i="2"/>
  <c r="O626" i="2"/>
  <c r="N626" i="2"/>
  <c r="M626" i="2"/>
  <c r="L626" i="2"/>
  <c r="P626" i="2" s="1"/>
  <c r="R626" i="2" s="1"/>
  <c r="Q625" i="2"/>
  <c r="O625" i="2"/>
  <c r="N625" i="2"/>
  <c r="M625" i="2"/>
  <c r="L625" i="2"/>
  <c r="P625" i="2" s="1"/>
  <c r="R625" i="2" s="1"/>
  <c r="Q624" i="2"/>
  <c r="O624" i="2"/>
  <c r="N624" i="2"/>
  <c r="M624" i="2"/>
  <c r="L624" i="2"/>
  <c r="P624" i="2" s="1"/>
  <c r="R624" i="2" s="1"/>
  <c r="Q623" i="2"/>
  <c r="O623" i="2"/>
  <c r="N623" i="2"/>
  <c r="M623" i="2"/>
  <c r="L623" i="2"/>
  <c r="P623" i="2" s="1"/>
  <c r="R623" i="2" s="1"/>
  <c r="Q622" i="2"/>
  <c r="O622" i="2"/>
  <c r="N622" i="2"/>
  <c r="M622" i="2"/>
  <c r="L622" i="2"/>
  <c r="P622" i="2" s="1"/>
  <c r="R622" i="2" s="1"/>
  <c r="Q621" i="2"/>
  <c r="O621" i="2"/>
  <c r="N621" i="2"/>
  <c r="M621" i="2"/>
  <c r="L621" i="2"/>
  <c r="P621" i="2" s="1"/>
  <c r="R621" i="2" s="1"/>
  <c r="Q620" i="2"/>
  <c r="O620" i="2"/>
  <c r="N620" i="2"/>
  <c r="M620" i="2"/>
  <c r="L620" i="2"/>
  <c r="P620" i="2" s="1"/>
  <c r="R620" i="2" s="1"/>
  <c r="Q619" i="2"/>
  <c r="O619" i="2"/>
  <c r="N619" i="2"/>
  <c r="M619" i="2"/>
  <c r="L619" i="2"/>
  <c r="P619" i="2" s="1"/>
  <c r="R619" i="2" s="1"/>
  <c r="Q618" i="2"/>
  <c r="O618" i="2"/>
  <c r="N618" i="2"/>
  <c r="M618" i="2"/>
  <c r="L618" i="2"/>
  <c r="P618" i="2" s="1"/>
  <c r="R618" i="2" s="1"/>
  <c r="Q617" i="2"/>
  <c r="O617" i="2"/>
  <c r="N617" i="2"/>
  <c r="M617" i="2"/>
  <c r="L617" i="2"/>
  <c r="P617" i="2" s="1"/>
  <c r="R617" i="2" s="1"/>
  <c r="Q616" i="2"/>
  <c r="O616" i="2"/>
  <c r="N616" i="2"/>
  <c r="M616" i="2"/>
  <c r="L616" i="2"/>
  <c r="P616" i="2" s="1"/>
  <c r="R616" i="2" s="1"/>
  <c r="Q615" i="2"/>
  <c r="O615" i="2"/>
  <c r="N615" i="2"/>
  <c r="M615" i="2"/>
  <c r="L615" i="2"/>
  <c r="P615" i="2" s="1"/>
  <c r="R615" i="2" s="1"/>
  <c r="Q614" i="2"/>
  <c r="O614" i="2"/>
  <c r="N614" i="2"/>
  <c r="M614" i="2"/>
  <c r="L614" i="2"/>
  <c r="P614" i="2" s="1"/>
  <c r="R614" i="2" s="1"/>
  <c r="Q613" i="2"/>
  <c r="O613" i="2"/>
  <c r="N613" i="2"/>
  <c r="M613" i="2"/>
  <c r="L613" i="2"/>
  <c r="P613" i="2" s="1"/>
  <c r="R613" i="2" s="1"/>
  <c r="Q612" i="2"/>
  <c r="O612" i="2"/>
  <c r="N612" i="2"/>
  <c r="M612" i="2"/>
  <c r="L612" i="2"/>
  <c r="P612" i="2" s="1"/>
  <c r="R612" i="2" s="1"/>
  <c r="Q611" i="2"/>
  <c r="O611" i="2"/>
  <c r="N611" i="2"/>
  <c r="M611" i="2"/>
  <c r="L611" i="2"/>
  <c r="P611" i="2" s="1"/>
  <c r="R611" i="2" s="1"/>
  <c r="Q610" i="2"/>
  <c r="O610" i="2"/>
  <c r="N610" i="2"/>
  <c r="M610" i="2"/>
  <c r="L610" i="2"/>
  <c r="P610" i="2" s="1"/>
  <c r="R610" i="2" s="1"/>
  <c r="Q609" i="2"/>
  <c r="O609" i="2"/>
  <c r="N609" i="2"/>
  <c r="M609" i="2"/>
  <c r="L609" i="2"/>
  <c r="P609" i="2" s="1"/>
  <c r="R609" i="2" s="1"/>
  <c r="Q608" i="2"/>
  <c r="O608" i="2"/>
  <c r="N608" i="2"/>
  <c r="M608" i="2"/>
  <c r="L608" i="2"/>
  <c r="P608" i="2" s="1"/>
  <c r="R608" i="2" s="1"/>
  <c r="Q607" i="2"/>
  <c r="O607" i="2"/>
  <c r="N607" i="2"/>
  <c r="M607" i="2"/>
  <c r="L607" i="2"/>
  <c r="P607" i="2" s="1"/>
  <c r="R607" i="2" s="1"/>
  <c r="Q606" i="2"/>
  <c r="O606" i="2"/>
  <c r="N606" i="2"/>
  <c r="M606" i="2"/>
  <c r="L606" i="2"/>
  <c r="P606" i="2" s="1"/>
  <c r="R606" i="2" s="1"/>
  <c r="Q605" i="2"/>
  <c r="O605" i="2"/>
  <c r="N605" i="2"/>
  <c r="M605" i="2"/>
  <c r="L605" i="2"/>
  <c r="P605" i="2" s="1"/>
  <c r="R605" i="2" s="1"/>
  <c r="Q604" i="2"/>
  <c r="O604" i="2"/>
  <c r="N604" i="2"/>
  <c r="M604" i="2"/>
  <c r="L604" i="2"/>
  <c r="P604" i="2" s="1"/>
  <c r="R604" i="2" s="1"/>
  <c r="Q603" i="2"/>
  <c r="O603" i="2"/>
  <c r="N603" i="2"/>
  <c r="M603" i="2"/>
  <c r="L603" i="2"/>
  <c r="P603" i="2" s="1"/>
  <c r="R603" i="2" s="1"/>
  <c r="Q602" i="2"/>
  <c r="O602" i="2"/>
  <c r="N602" i="2"/>
  <c r="M602" i="2"/>
  <c r="L602" i="2"/>
  <c r="P602" i="2" s="1"/>
  <c r="R602" i="2" s="1"/>
  <c r="Q601" i="2"/>
  <c r="O601" i="2"/>
  <c r="N601" i="2"/>
  <c r="M601" i="2"/>
  <c r="L601" i="2"/>
  <c r="P601" i="2" s="1"/>
  <c r="R601" i="2" s="1"/>
  <c r="Q600" i="2"/>
  <c r="O600" i="2"/>
  <c r="N600" i="2"/>
  <c r="M600" i="2"/>
  <c r="L600" i="2"/>
  <c r="P600" i="2" s="1"/>
  <c r="R600" i="2" s="1"/>
  <c r="Q599" i="2"/>
  <c r="O599" i="2"/>
  <c r="N599" i="2"/>
  <c r="M599" i="2"/>
  <c r="L599" i="2"/>
  <c r="P599" i="2" s="1"/>
  <c r="R599" i="2" s="1"/>
  <c r="Q598" i="2"/>
  <c r="O598" i="2"/>
  <c r="N598" i="2"/>
  <c r="M598" i="2"/>
  <c r="L598" i="2"/>
  <c r="P598" i="2" s="1"/>
  <c r="R598" i="2" s="1"/>
  <c r="Q597" i="2"/>
  <c r="O597" i="2"/>
  <c r="N597" i="2"/>
  <c r="M597" i="2"/>
  <c r="L597" i="2"/>
  <c r="P597" i="2" s="1"/>
  <c r="R597" i="2" s="1"/>
  <c r="Q596" i="2"/>
  <c r="O596" i="2"/>
  <c r="N596" i="2"/>
  <c r="M596" i="2"/>
  <c r="L596" i="2"/>
  <c r="P596" i="2" s="1"/>
  <c r="R596" i="2" s="1"/>
  <c r="Q595" i="2"/>
  <c r="O595" i="2"/>
  <c r="N595" i="2"/>
  <c r="M595" i="2"/>
  <c r="L595" i="2"/>
  <c r="P595" i="2" s="1"/>
  <c r="R595" i="2" s="1"/>
  <c r="Q594" i="2"/>
  <c r="O594" i="2"/>
  <c r="N594" i="2"/>
  <c r="M594" i="2"/>
  <c r="L594" i="2"/>
  <c r="P594" i="2" s="1"/>
  <c r="R594" i="2" s="1"/>
  <c r="Q593" i="2"/>
  <c r="O593" i="2"/>
  <c r="N593" i="2"/>
  <c r="M593" i="2"/>
  <c r="L593" i="2"/>
  <c r="P593" i="2" s="1"/>
  <c r="R593" i="2" s="1"/>
  <c r="Q592" i="2"/>
  <c r="O592" i="2"/>
  <c r="N592" i="2"/>
  <c r="M592" i="2"/>
  <c r="L592" i="2"/>
  <c r="P592" i="2" s="1"/>
  <c r="R592" i="2" s="1"/>
  <c r="Q591" i="2"/>
  <c r="O591" i="2"/>
  <c r="N591" i="2"/>
  <c r="M591" i="2"/>
  <c r="L591" i="2"/>
  <c r="P591" i="2" s="1"/>
  <c r="R591" i="2" s="1"/>
  <c r="Q590" i="2"/>
  <c r="O590" i="2"/>
  <c r="N590" i="2"/>
  <c r="M590" i="2"/>
  <c r="L590" i="2"/>
  <c r="P590" i="2" s="1"/>
  <c r="R590" i="2" s="1"/>
  <c r="Q589" i="2"/>
  <c r="O589" i="2"/>
  <c r="N589" i="2"/>
  <c r="M589" i="2"/>
  <c r="L589" i="2"/>
  <c r="P589" i="2" s="1"/>
  <c r="R589" i="2" s="1"/>
  <c r="Q588" i="2"/>
  <c r="O588" i="2"/>
  <c r="N588" i="2"/>
  <c r="M588" i="2"/>
  <c r="L588" i="2"/>
  <c r="P588" i="2" s="1"/>
  <c r="R588" i="2" s="1"/>
  <c r="Q587" i="2"/>
  <c r="O587" i="2"/>
  <c r="N587" i="2"/>
  <c r="M587" i="2"/>
  <c r="L587" i="2"/>
  <c r="P587" i="2" s="1"/>
  <c r="R587" i="2" s="1"/>
  <c r="Q586" i="2"/>
  <c r="O586" i="2"/>
  <c r="N586" i="2"/>
  <c r="M586" i="2"/>
  <c r="L586" i="2"/>
  <c r="P586" i="2" s="1"/>
  <c r="R586" i="2" s="1"/>
  <c r="Q585" i="2"/>
  <c r="O585" i="2"/>
  <c r="N585" i="2"/>
  <c r="M585" i="2"/>
  <c r="L585" i="2"/>
  <c r="P585" i="2" s="1"/>
  <c r="R585" i="2" s="1"/>
  <c r="Q584" i="2"/>
  <c r="O584" i="2"/>
  <c r="N584" i="2"/>
  <c r="M584" i="2"/>
  <c r="L584" i="2"/>
  <c r="P584" i="2" s="1"/>
  <c r="R584" i="2" s="1"/>
  <c r="Q583" i="2"/>
  <c r="O583" i="2"/>
  <c r="N583" i="2"/>
  <c r="M583" i="2"/>
  <c r="L583" i="2"/>
  <c r="P583" i="2" s="1"/>
  <c r="R583" i="2" s="1"/>
  <c r="Q582" i="2"/>
  <c r="O582" i="2"/>
  <c r="N582" i="2"/>
  <c r="M582" i="2"/>
  <c r="L582" i="2"/>
  <c r="P582" i="2" s="1"/>
  <c r="R582" i="2" s="1"/>
  <c r="Q581" i="2"/>
  <c r="O581" i="2"/>
  <c r="N581" i="2"/>
  <c r="M581" i="2"/>
  <c r="L581" i="2"/>
  <c r="P581" i="2" s="1"/>
  <c r="R581" i="2" s="1"/>
  <c r="Q580" i="2"/>
  <c r="O580" i="2"/>
  <c r="N580" i="2"/>
  <c r="M580" i="2"/>
  <c r="L580" i="2"/>
  <c r="P580" i="2" s="1"/>
  <c r="R580" i="2" s="1"/>
  <c r="Q579" i="2"/>
  <c r="O579" i="2"/>
  <c r="N579" i="2"/>
  <c r="M579" i="2"/>
  <c r="L579" i="2"/>
  <c r="P579" i="2" s="1"/>
  <c r="R579" i="2" s="1"/>
  <c r="Q578" i="2"/>
  <c r="O578" i="2"/>
  <c r="N578" i="2"/>
  <c r="M578" i="2"/>
  <c r="L578" i="2"/>
  <c r="P578" i="2" s="1"/>
  <c r="R578" i="2" s="1"/>
  <c r="Q577" i="2"/>
  <c r="O577" i="2"/>
  <c r="N577" i="2"/>
  <c r="M577" i="2"/>
  <c r="L577" i="2"/>
  <c r="P577" i="2" s="1"/>
  <c r="R577" i="2" s="1"/>
  <c r="Q576" i="2"/>
  <c r="O576" i="2"/>
  <c r="N576" i="2"/>
  <c r="M576" i="2"/>
  <c r="L576" i="2"/>
  <c r="P576" i="2" s="1"/>
  <c r="R576" i="2" s="1"/>
  <c r="Q575" i="2"/>
  <c r="O575" i="2"/>
  <c r="N575" i="2"/>
  <c r="M575" i="2"/>
  <c r="L575" i="2"/>
  <c r="P575" i="2" s="1"/>
  <c r="R575" i="2" s="1"/>
  <c r="Q574" i="2"/>
  <c r="O574" i="2"/>
  <c r="N574" i="2"/>
  <c r="M574" i="2"/>
  <c r="L574" i="2"/>
  <c r="P574" i="2" s="1"/>
  <c r="R574" i="2" s="1"/>
  <c r="Q573" i="2"/>
  <c r="O573" i="2"/>
  <c r="N573" i="2"/>
  <c r="M573" i="2"/>
  <c r="L573" i="2"/>
  <c r="P573" i="2" s="1"/>
  <c r="R573" i="2" s="1"/>
  <c r="Q572" i="2"/>
  <c r="O572" i="2"/>
  <c r="N572" i="2"/>
  <c r="M572" i="2"/>
  <c r="L572" i="2"/>
  <c r="P572" i="2" s="1"/>
  <c r="R572" i="2" s="1"/>
  <c r="Q571" i="2"/>
  <c r="O571" i="2"/>
  <c r="N571" i="2"/>
  <c r="M571" i="2"/>
  <c r="L571" i="2"/>
  <c r="P571" i="2" s="1"/>
  <c r="R571" i="2" s="1"/>
  <c r="Q570" i="2"/>
  <c r="O570" i="2"/>
  <c r="N570" i="2"/>
  <c r="M570" i="2"/>
  <c r="L570" i="2"/>
  <c r="P570" i="2" s="1"/>
  <c r="R570" i="2" s="1"/>
  <c r="Q569" i="2"/>
  <c r="O569" i="2"/>
  <c r="N569" i="2"/>
  <c r="M569" i="2"/>
  <c r="L569" i="2"/>
  <c r="P569" i="2" s="1"/>
  <c r="R569" i="2" s="1"/>
  <c r="Q568" i="2"/>
  <c r="O568" i="2"/>
  <c r="N568" i="2"/>
  <c r="M568" i="2"/>
  <c r="L568" i="2"/>
  <c r="P568" i="2" s="1"/>
  <c r="R568" i="2" s="1"/>
  <c r="Q567" i="2"/>
  <c r="O567" i="2"/>
  <c r="N567" i="2"/>
  <c r="M567" i="2"/>
  <c r="L567" i="2"/>
  <c r="P567" i="2" s="1"/>
  <c r="R567" i="2" s="1"/>
  <c r="Q566" i="2"/>
  <c r="O566" i="2"/>
  <c r="N566" i="2"/>
  <c r="M566" i="2"/>
  <c r="L566" i="2"/>
  <c r="P566" i="2" s="1"/>
  <c r="R566" i="2" s="1"/>
  <c r="Q565" i="2"/>
  <c r="O565" i="2"/>
  <c r="N565" i="2"/>
  <c r="M565" i="2"/>
  <c r="L565" i="2"/>
  <c r="P565" i="2" s="1"/>
  <c r="R565" i="2" s="1"/>
  <c r="Q564" i="2"/>
  <c r="O564" i="2"/>
  <c r="N564" i="2"/>
  <c r="M564" i="2"/>
  <c r="L564" i="2"/>
  <c r="P564" i="2" s="1"/>
  <c r="R564" i="2" s="1"/>
  <c r="Q563" i="2"/>
  <c r="O563" i="2"/>
  <c r="N563" i="2"/>
  <c r="M563" i="2"/>
  <c r="L563" i="2"/>
  <c r="P563" i="2" s="1"/>
  <c r="R563" i="2" s="1"/>
  <c r="Q562" i="2"/>
  <c r="O562" i="2"/>
  <c r="N562" i="2"/>
  <c r="M562" i="2"/>
  <c r="L562" i="2"/>
  <c r="P562" i="2" s="1"/>
  <c r="R562" i="2" s="1"/>
  <c r="Q561" i="2"/>
  <c r="O561" i="2"/>
  <c r="N561" i="2"/>
  <c r="M561" i="2"/>
  <c r="L561" i="2"/>
  <c r="P561" i="2" s="1"/>
  <c r="R561" i="2" s="1"/>
  <c r="Q560" i="2"/>
  <c r="O560" i="2"/>
  <c r="N560" i="2"/>
  <c r="M560" i="2"/>
  <c r="L560" i="2"/>
  <c r="P560" i="2" s="1"/>
  <c r="R560" i="2" s="1"/>
  <c r="Q559" i="2"/>
  <c r="O559" i="2"/>
  <c r="N559" i="2"/>
  <c r="M559" i="2"/>
  <c r="L559" i="2"/>
  <c r="P559" i="2" s="1"/>
  <c r="R559" i="2" s="1"/>
  <c r="Q558" i="2"/>
  <c r="O558" i="2"/>
  <c r="N558" i="2"/>
  <c r="M558" i="2"/>
  <c r="L558" i="2"/>
  <c r="P558" i="2" s="1"/>
  <c r="R558" i="2" s="1"/>
  <c r="Q557" i="2"/>
  <c r="O557" i="2"/>
  <c r="N557" i="2"/>
  <c r="M557" i="2"/>
  <c r="L557" i="2"/>
  <c r="P557" i="2" s="1"/>
  <c r="R557" i="2" s="1"/>
  <c r="Q556" i="2"/>
  <c r="O556" i="2"/>
  <c r="N556" i="2"/>
  <c r="M556" i="2"/>
  <c r="L556" i="2"/>
  <c r="P556" i="2" s="1"/>
  <c r="R556" i="2" s="1"/>
  <c r="Q555" i="2"/>
  <c r="O555" i="2"/>
  <c r="N555" i="2"/>
  <c r="M555" i="2"/>
  <c r="L555" i="2"/>
  <c r="P555" i="2" s="1"/>
  <c r="R555" i="2" s="1"/>
  <c r="Q554" i="2"/>
  <c r="O554" i="2"/>
  <c r="N554" i="2"/>
  <c r="M554" i="2"/>
  <c r="L554" i="2"/>
  <c r="P554" i="2" s="1"/>
  <c r="R554" i="2" s="1"/>
  <c r="Q553" i="2"/>
  <c r="O553" i="2"/>
  <c r="N553" i="2"/>
  <c r="M553" i="2"/>
  <c r="L553" i="2"/>
  <c r="P553" i="2" s="1"/>
  <c r="R553" i="2" s="1"/>
  <c r="Q552" i="2"/>
  <c r="O552" i="2"/>
  <c r="N552" i="2"/>
  <c r="M552" i="2"/>
  <c r="L552" i="2"/>
  <c r="P552" i="2" s="1"/>
  <c r="R552" i="2" s="1"/>
  <c r="Q551" i="2"/>
  <c r="O551" i="2"/>
  <c r="N551" i="2"/>
  <c r="M551" i="2"/>
  <c r="L551" i="2"/>
  <c r="P551" i="2" s="1"/>
  <c r="R551" i="2" s="1"/>
  <c r="Q550" i="2"/>
  <c r="O550" i="2"/>
  <c r="N550" i="2"/>
  <c r="M550" i="2"/>
  <c r="L550" i="2"/>
  <c r="P550" i="2" s="1"/>
  <c r="R550" i="2" s="1"/>
  <c r="Q549" i="2"/>
  <c r="O549" i="2"/>
  <c r="N549" i="2"/>
  <c r="M549" i="2"/>
  <c r="L549" i="2"/>
  <c r="P549" i="2" s="1"/>
  <c r="R549" i="2" s="1"/>
  <c r="Q548" i="2"/>
  <c r="O548" i="2"/>
  <c r="N548" i="2"/>
  <c r="M548" i="2"/>
  <c r="L548" i="2"/>
  <c r="P548" i="2" s="1"/>
  <c r="R548" i="2" s="1"/>
  <c r="Q547" i="2"/>
  <c r="O547" i="2"/>
  <c r="N547" i="2"/>
  <c r="M547" i="2"/>
  <c r="L547" i="2"/>
  <c r="P547" i="2" s="1"/>
  <c r="R547" i="2" s="1"/>
  <c r="Q546" i="2"/>
  <c r="O546" i="2"/>
  <c r="N546" i="2"/>
  <c r="M546" i="2"/>
  <c r="L546" i="2"/>
  <c r="P546" i="2" s="1"/>
  <c r="R546" i="2" s="1"/>
  <c r="Q545" i="2"/>
  <c r="O545" i="2"/>
  <c r="N545" i="2"/>
  <c r="M545" i="2"/>
  <c r="L545" i="2"/>
  <c r="P545" i="2" s="1"/>
  <c r="R545" i="2" s="1"/>
  <c r="Q544" i="2"/>
  <c r="O544" i="2"/>
  <c r="N544" i="2"/>
  <c r="M544" i="2"/>
  <c r="L544" i="2"/>
  <c r="P544" i="2" s="1"/>
  <c r="R544" i="2" s="1"/>
  <c r="Q543" i="2"/>
  <c r="O543" i="2"/>
  <c r="N543" i="2"/>
  <c r="M543" i="2"/>
  <c r="L543" i="2"/>
  <c r="P543" i="2" s="1"/>
  <c r="R543" i="2" s="1"/>
  <c r="Q542" i="2"/>
  <c r="O542" i="2"/>
  <c r="N542" i="2"/>
  <c r="M542" i="2"/>
  <c r="L542" i="2"/>
  <c r="P542" i="2" s="1"/>
  <c r="R542" i="2" s="1"/>
  <c r="Q541" i="2"/>
  <c r="O541" i="2"/>
  <c r="N541" i="2"/>
  <c r="M541" i="2"/>
  <c r="L541" i="2"/>
  <c r="P541" i="2" s="1"/>
  <c r="R541" i="2" s="1"/>
  <c r="Q540" i="2"/>
  <c r="O540" i="2"/>
  <c r="N540" i="2"/>
  <c r="M540" i="2"/>
  <c r="L540" i="2"/>
  <c r="P540" i="2" s="1"/>
  <c r="R540" i="2" s="1"/>
  <c r="Q539" i="2"/>
  <c r="O539" i="2"/>
  <c r="N539" i="2"/>
  <c r="M539" i="2"/>
  <c r="L539" i="2"/>
  <c r="P539" i="2" s="1"/>
  <c r="R539" i="2" s="1"/>
  <c r="Q538" i="2"/>
  <c r="O538" i="2"/>
  <c r="N538" i="2"/>
  <c r="M538" i="2"/>
  <c r="L538" i="2"/>
  <c r="P538" i="2" s="1"/>
  <c r="R538" i="2" s="1"/>
  <c r="Q537" i="2"/>
  <c r="O537" i="2"/>
  <c r="N537" i="2"/>
  <c r="M537" i="2"/>
  <c r="L537" i="2"/>
  <c r="P537" i="2" s="1"/>
  <c r="R537" i="2" s="1"/>
  <c r="Q536" i="2"/>
  <c r="O536" i="2"/>
  <c r="N536" i="2"/>
  <c r="M536" i="2"/>
  <c r="L536" i="2"/>
  <c r="P536" i="2" s="1"/>
  <c r="R536" i="2" s="1"/>
  <c r="Q535" i="2"/>
  <c r="O535" i="2"/>
  <c r="N535" i="2"/>
  <c r="M535" i="2"/>
  <c r="L535" i="2"/>
  <c r="P535" i="2" s="1"/>
  <c r="R535" i="2" s="1"/>
  <c r="Q534" i="2"/>
  <c r="O534" i="2"/>
  <c r="N534" i="2"/>
  <c r="M534" i="2"/>
  <c r="L534" i="2"/>
  <c r="P534" i="2" s="1"/>
  <c r="R534" i="2" s="1"/>
  <c r="Q533" i="2"/>
  <c r="O533" i="2"/>
  <c r="N533" i="2"/>
  <c r="M533" i="2"/>
  <c r="L533" i="2"/>
  <c r="P533" i="2" s="1"/>
  <c r="R533" i="2" s="1"/>
  <c r="Q532" i="2"/>
  <c r="O532" i="2"/>
  <c r="N532" i="2"/>
  <c r="M532" i="2"/>
  <c r="L532" i="2"/>
  <c r="P532" i="2" s="1"/>
  <c r="R532" i="2" s="1"/>
  <c r="Q531" i="2"/>
  <c r="O531" i="2"/>
  <c r="N531" i="2"/>
  <c r="M531" i="2"/>
  <c r="L531" i="2"/>
  <c r="P531" i="2" s="1"/>
  <c r="R531" i="2" s="1"/>
  <c r="Q530" i="2"/>
  <c r="O530" i="2"/>
  <c r="N530" i="2"/>
  <c r="M530" i="2"/>
  <c r="L530" i="2"/>
  <c r="P530" i="2" s="1"/>
  <c r="R530" i="2" s="1"/>
  <c r="Q529" i="2"/>
  <c r="O529" i="2"/>
  <c r="N529" i="2"/>
  <c r="M529" i="2"/>
  <c r="L529" i="2"/>
  <c r="P529" i="2" s="1"/>
  <c r="R529" i="2" s="1"/>
  <c r="Q528" i="2"/>
  <c r="O528" i="2"/>
  <c r="N528" i="2"/>
  <c r="M528" i="2"/>
  <c r="L528" i="2"/>
  <c r="P528" i="2" s="1"/>
  <c r="R528" i="2" s="1"/>
  <c r="Q527" i="2"/>
  <c r="O527" i="2"/>
  <c r="N527" i="2"/>
  <c r="M527" i="2"/>
  <c r="L527" i="2"/>
  <c r="P527" i="2" s="1"/>
  <c r="R527" i="2" s="1"/>
  <c r="Q526" i="2"/>
  <c r="O526" i="2"/>
  <c r="N526" i="2"/>
  <c r="M526" i="2"/>
  <c r="L526" i="2"/>
  <c r="P526" i="2" s="1"/>
  <c r="R526" i="2" s="1"/>
  <c r="Q525" i="2"/>
  <c r="O525" i="2"/>
  <c r="N525" i="2"/>
  <c r="M525" i="2"/>
  <c r="L525" i="2"/>
  <c r="P525" i="2" s="1"/>
  <c r="R525" i="2" s="1"/>
  <c r="Q524" i="2"/>
  <c r="O524" i="2"/>
  <c r="N524" i="2"/>
  <c r="M524" i="2"/>
  <c r="L524" i="2"/>
  <c r="P524" i="2" s="1"/>
  <c r="R524" i="2" s="1"/>
  <c r="Q523" i="2"/>
  <c r="O523" i="2"/>
  <c r="N523" i="2"/>
  <c r="M523" i="2"/>
  <c r="L523" i="2"/>
  <c r="P523" i="2" s="1"/>
  <c r="R523" i="2" s="1"/>
  <c r="Q522" i="2"/>
  <c r="O522" i="2"/>
  <c r="N522" i="2"/>
  <c r="M522" i="2"/>
  <c r="L522" i="2"/>
  <c r="P522" i="2" s="1"/>
  <c r="R522" i="2" s="1"/>
  <c r="Q521" i="2"/>
  <c r="O521" i="2"/>
  <c r="N521" i="2"/>
  <c r="M521" i="2"/>
  <c r="L521" i="2"/>
  <c r="P521" i="2" s="1"/>
  <c r="R521" i="2" s="1"/>
  <c r="Q520" i="2"/>
  <c r="O520" i="2"/>
  <c r="N520" i="2"/>
  <c r="M520" i="2"/>
  <c r="L520" i="2"/>
  <c r="P520" i="2" s="1"/>
  <c r="R520" i="2" s="1"/>
  <c r="Q519" i="2"/>
  <c r="O519" i="2"/>
  <c r="N519" i="2"/>
  <c r="M519" i="2"/>
  <c r="L519" i="2"/>
  <c r="P519" i="2" s="1"/>
  <c r="R519" i="2" s="1"/>
  <c r="Q518" i="2"/>
  <c r="O518" i="2"/>
  <c r="N518" i="2"/>
  <c r="M518" i="2"/>
  <c r="L518" i="2"/>
  <c r="P518" i="2" s="1"/>
  <c r="R518" i="2" s="1"/>
  <c r="Q517" i="2"/>
  <c r="O517" i="2"/>
  <c r="N517" i="2"/>
  <c r="M517" i="2"/>
  <c r="L517" i="2"/>
  <c r="P517" i="2" s="1"/>
  <c r="R517" i="2" s="1"/>
  <c r="Q516" i="2"/>
  <c r="O516" i="2"/>
  <c r="N516" i="2"/>
  <c r="M516" i="2"/>
  <c r="L516" i="2"/>
  <c r="P516" i="2" s="1"/>
  <c r="R516" i="2" s="1"/>
  <c r="Q515" i="2"/>
  <c r="O515" i="2"/>
  <c r="N515" i="2"/>
  <c r="M515" i="2"/>
  <c r="L515" i="2"/>
  <c r="P515" i="2" s="1"/>
  <c r="R515" i="2" s="1"/>
  <c r="Q514" i="2"/>
  <c r="O514" i="2"/>
  <c r="N514" i="2"/>
  <c r="M514" i="2"/>
  <c r="L514" i="2"/>
  <c r="P514" i="2" s="1"/>
  <c r="R514" i="2" s="1"/>
  <c r="Q513" i="2"/>
  <c r="O513" i="2"/>
  <c r="N513" i="2"/>
  <c r="M513" i="2"/>
  <c r="L513" i="2"/>
  <c r="P513" i="2" s="1"/>
  <c r="R513" i="2" s="1"/>
  <c r="Q512" i="2"/>
  <c r="O512" i="2"/>
  <c r="N512" i="2"/>
  <c r="M512" i="2"/>
  <c r="L512" i="2"/>
  <c r="P512" i="2" s="1"/>
  <c r="R512" i="2" s="1"/>
  <c r="Q511" i="2"/>
  <c r="O511" i="2"/>
  <c r="N511" i="2"/>
  <c r="M511" i="2"/>
  <c r="L511" i="2"/>
  <c r="P511" i="2" s="1"/>
  <c r="R511" i="2" s="1"/>
  <c r="Q510" i="2"/>
  <c r="O510" i="2"/>
  <c r="N510" i="2"/>
  <c r="M510" i="2"/>
  <c r="L510" i="2"/>
  <c r="P510" i="2" s="1"/>
  <c r="R510" i="2" s="1"/>
  <c r="Q509" i="2"/>
  <c r="O509" i="2"/>
  <c r="N509" i="2"/>
  <c r="M509" i="2"/>
  <c r="L509" i="2"/>
  <c r="P509" i="2" s="1"/>
  <c r="R509" i="2" s="1"/>
  <c r="Q508" i="2"/>
  <c r="O508" i="2"/>
  <c r="N508" i="2"/>
  <c r="M508" i="2"/>
  <c r="L508" i="2"/>
  <c r="P508" i="2" s="1"/>
  <c r="R508" i="2" s="1"/>
  <c r="Q507" i="2"/>
  <c r="O507" i="2"/>
  <c r="N507" i="2"/>
  <c r="M507" i="2"/>
  <c r="L507" i="2"/>
  <c r="P507" i="2" s="1"/>
  <c r="R507" i="2" s="1"/>
  <c r="Q506" i="2"/>
  <c r="O506" i="2"/>
  <c r="N506" i="2"/>
  <c r="M506" i="2"/>
  <c r="L506" i="2"/>
  <c r="P506" i="2" s="1"/>
  <c r="R506" i="2" s="1"/>
  <c r="Q505" i="2"/>
  <c r="O505" i="2"/>
  <c r="N505" i="2"/>
  <c r="M505" i="2"/>
  <c r="L505" i="2"/>
  <c r="P505" i="2" s="1"/>
  <c r="R505" i="2" s="1"/>
  <c r="Q504" i="2"/>
  <c r="O504" i="2"/>
  <c r="N504" i="2"/>
  <c r="M504" i="2"/>
  <c r="L504" i="2"/>
  <c r="P504" i="2" s="1"/>
  <c r="R504" i="2" s="1"/>
  <c r="Q503" i="2"/>
  <c r="O503" i="2"/>
  <c r="N503" i="2"/>
  <c r="M503" i="2"/>
  <c r="L503" i="2"/>
  <c r="P503" i="2" s="1"/>
  <c r="R503" i="2" s="1"/>
  <c r="Q502" i="2"/>
  <c r="O502" i="2"/>
  <c r="N502" i="2"/>
  <c r="M502" i="2"/>
  <c r="L502" i="2"/>
  <c r="P502" i="2" s="1"/>
  <c r="R502" i="2" s="1"/>
  <c r="Q501" i="2"/>
  <c r="O501" i="2"/>
  <c r="N501" i="2"/>
  <c r="M501" i="2"/>
  <c r="L501" i="2"/>
  <c r="P501" i="2" s="1"/>
  <c r="R501" i="2" s="1"/>
  <c r="Q500" i="2"/>
  <c r="O500" i="2"/>
  <c r="N500" i="2"/>
  <c r="M500" i="2"/>
  <c r="L500" i="2"/>
  <c r="P500" i="2" s="1"/>
  <c r="R500" i="2" s="1"/>
  <c r="Q499" i="2"/>
  <c r="O499" i="2"/>
  <c r="N499" i="2"/>
  <c r="M499" i="2"/>
  <c r="L499" i="2"/>
  <c r="P499" i="2" s="1"/>
  <c r="R499" i="2" s="1"/>
  <c r="Q498" i="2"/>
  <c r="O498" i="2"/>
  <c r="N498" i="2"/>
  <c r="M498" i="2"/>
  <c r="L498" i="2"/>
  <c r="P498" i="2" s="1"/>
  <c r="R498" i="2" s="1"/>
  <c r="Q497" i="2"/>
  <c r="O497" i="2"/>
  <c r="N497" i="2"/>
  <c r="M497" i="2"/>
  <c r="L497" i="2"/>
  <c r="P497" i="2" s="1"/>
  <c r="R497" i="2" s="1"/>
  <c r="Q496" i="2"/>
  <c r="O496" i="2"/>
  <c r="N496" i="2"/>
  <c r="M496" i="2"/>
  <c r="L496" i="2"/>
  <c r="P496" i="2" s="1"/>
  <c r="R496" i="2" s="1"/>
  <c r="Q495" i="2"/>
  <c r="O495" i="2"/>
  <c r="N495" i="2"/>
  <c r="M495" i="2"/>
  <c r="L495" i="2"/>
  <c r="P495" i="2" s="1"/>
  <c r="R495" i="2" s="1"/>
  <c r="Q494" i="2"/>
  <c r="O494" i="2"/>
  <c r="N494" i="2"/>
  <c r="M494" i="2"/>
  <c r="L494" i="2"/>
  <c r="P494" i="2" s="1"/>
  <c r="R494" i="2" s="1"/>
  <c r="Q493" i="2"/>
  <c r="O493" i="2"/>
  <c r="N493" i="2"/>
  <c r="M493" i="2"/>
  <c r="L493" i="2"/>
  <c r="P493" i="2" s="1"/>
  <c r="R493" i="2" s="1"/>
  <c r="Q492" i="2"/>
  <c r="O492" i="2"/>
  <c r="N492" i="2"/>
  <c r="M492" i="2"/>
  <c r="L492" i="2"/>
  <c r="P492" i="2" s="1"/>
  <c r="R492" i="2" s="1"/>
  <c r="Q491" i="2"/>
  <c r="O491" i="2"/>
  <c r="N491" i="2"/>
  <c r="M491" i="2"/>
  <c r="L491" i="2"/>
  <c r="P491" i="2" s="1"/>
  <c r="R491" i="2" s="1"/>
  <c r="Q490" i="2"/>
  <c r="O490" i="2"/>
  <c r="N490" i="2"/>
  <c r="M490" i="2"/>
  <c r="L490" i="2"/>
  <c r="P490" i="2" s="1"/>
  <c r="R490" i="2" s="1"/>
  <c r="Q489" i="2"/>
  <c r="O489" i="2"/>
  <c r="N489" i="2"/>
  <c r="M489" i="2"/>
  <c r="L489" i="2"/>
  <c r="P489" i="2" s="1"/>
  <c r="R489" i="2" s="1"/>
  <c r="Q488" i="2"/>
  <c r="O488" i="2"/>
  <c r="N488" i="2"/>
  <c r="M488" i="2"/>
  <c r="L488" i="2"/>
  <c r="P488" i="2" s="1"/>
  <c r="R488" i="2" s="1"/>
  <c r="Q487" i="2"/>
  <c r="O487" i="2"/>
  <c r="N487" i="2"/>
  <c r="M487" i="2"/>
  <c r="L487" i="2"/>
  <c r="P487" i="2" s="1"/>
  <c r="R487" i="2" s="1"/>
  <c r="Q486" i="2"/>
  <c r="O486" i="2"/>
  <c r="N486" i="2"/>
  <c r="M486" i="2"/>
  <c r="L486" i="2"/>
  <c r="P486" i="2" s="1"/>
  <c r="R486" i="2" s="1"/>
  <c r="Q485" i="2"/>
  <c r="O485" i="2"/>
  <c r="N485" i="2"/>
  <c r="M485" i="2"/>
  <c r="L485" i="2"/>
  <c r="P485" i="2" s="1"/>
  <c r="R485" i="2" s="1"/>
  <c r="Q484" i="2"/>
  <c r="O484" i="2"/>
  <c r="N484" i="2"/>
  <c r="M484" i="2"/>
  <c r="L484" i="2"/>
  <c r="P484" i="2" s="1"/>
  <c r="R484" i="2" s="1"/>
  <c r="Q483" i="2"/>
  <c r="O483" i="2"/>
  <c r="N483" i="2"/>
  <c r="M483" i="2"/>
  <c r="L483" i="2"/>
  <c r="P483" i="2" s="1"/>
  <c r="R483" i="2" s="1"/>
  <c r="Q482" i="2"/>
  <c r="O482" i="2"/>
  <c r="N482" i="2"/>
  <c r="M482" i="2"/>
  <c r="L482" i="2"/>
  <c r="P482" i="2" s="1"/>
  <c r="R482" i="2" s="1"/>
  <c r="Q481" i="2"/>
  <c r="O481" i="2"/>
  <c r="N481" i="2"/>
  <c r="M481" i="2"/>
  <c r="L481" i="2"/>
  <c r="P481" i="2" s="1"/>
  <c r="R481" i="2" s="1"/>
  <c r="Q480" i="2"/>
  <c r="O480" i="2"/>
  <c r="N480" i="2"/>
  <c r="M480" i="2"/>
  <c r="L480" i="2"/>
  <c r="P480" i="2" s="1"/>
  <c r="R480" i="2" s="1"/>
  <c r="Q479" i="2"/>
  <c r="O479" i="2"/>
  <c r="N479" i="2"/>
  <c r="M479" i="2"/>
  <c r="L479" i="2"/>
  <c r="P479" i="2" s="1"/>
  <c r="R479" i="2" s="1"/>
  <c r="Q478" i="2"/>
  <c r="O478" i="2"/>
  <c r="N478" i="2"/>
  <c r="M478" i="2"/>
  <c r="L478" i="2"/>
  <c r="P478" i="2" s="1"/>
  <c r="R478" i="2" s="1"/>
  <c r="Q477" i="2"/>
  <c r="O477" i="2"/>
  <c r="N477" i="2"/>
  <c r="M477" i="2"/>
  <c r="L477" i="2"/>
  <c r="P477" i="2" s="1"/>
  <c r="R477" i="2" s="1"/>
  <c r="Q476" i="2"/>
  <c r="O476" i="2"/>
  <c r="N476" i="2"/>
  <c r="M476" i="2"/>
  <c r="L476" i="2"/>
  <c r="P476" i="2" s="1"/>
  <c r="R476" i="2" s="1"/>
  <c r="Q475" i="2"/>
  <c r="O475" i="2"/>
  <c r="N475" i="2"/>
  <c r="M475" i="2"/>
  <c r="L475" i="2"/>
  <c r="P475" i="2" s="1"/>
  <c r="R475" i="2" s="1"/>
  <c r="Q474" i="2"/>
  <c r="O474" i="2"/>
  <c r="N474" i="2"/>
  <c r="M474" i="2"/>
  <c r="L474" i="2"/>
  <c r="P474" i="2" s="1"/>
  <c r="R474" i="2" s="1"/>
  <c r="Q473" i="2"/>
  <c r="O473" i="2"/>
  <c r="N473" i="2"/>
  <c r="M473" i="2"/>
  <c r="L473" i="2"/>
  <c r="P473" i="2" s="1"/>
  <c r="R473" i="2" s="1"/>
  <c r="Q472" i="2"/>
  <c r="O472" i="2"/>
  <c r="N472" i="2"/>
  <c r="M472" i="2"/>
  <c r="L472" i="2"/>
  <c r="P472" i="2" s="1"/>
  <c r="R472" i="2" s="1"/>
  <c r="Q471" i="2"/>
  <c r="O471" i="2"/>
  <c r="N471" i="2"/>
  <c r="M471" i="2"/>
  <c r="L471" i="2"/>
  <c r="P471" i="2" s="1"/>
  <c r="R471" i="2" s="1"/>
  <c r="Q470" i="2"/>
  <c r="O470" i="2"/>
  <c r="N470" i="2"/>
  <c r="M470" i="2"/>
  <c r="L470" i="2"/>
  <c r="P470" i="2" s="1"/>
  <c r="R470" i="2" s="1"/>
  <c r="Q469" i="2"/>
  <c r="O469" i="2"/>
  <c r="N469" i="2"/>
  <c r="M469" i="2"/>
  <c r="L469" i="2"/>
  <c r="P469" i="2" s="1"/>
  <c r="R469" i="2" s="1"/>
  <c r="Q468" i="2"/>
  <c r="O468" i="2"/>
  <c r="N468" i="2"/>
  <c r="M468" i="2"/>
  <c r="L468" i="2"/>
  <c r="P468" i="2" s="1"/>
  <c r="R468" i="2" s="1"/>
  <c r="Q467" i="2"/>
  <c r="O467" i="2"/>
  <c r="N467" i="2"/>
  <c r="M467" i="2"/>
  <c r="L467" i="2"/>
  <c r="P467" i="2" s="1"/>
  <c r="R467" i="2" s="1"/>
  <c r="Q466" i="2"/>
  <c r="O466" i="2"/>
  <c r="N466" i="2"/>
  <c r="M466" i="2"/>
  <c r="L466" i="2"/>
  <c r="P466" i="2" s="1"/>
  <c r="R466" i="2" s="1"/>
  <c r="Q465" i="2"/>
  <c r="O465" i="2"/>
  <c r="N465" i="2"/>
  <c r="M465" i="2"/>
  <c r="L465" i="2"/>
  <c r="P465" i="2" s="1"/>
  <c r="R465" i="2" s="1"/>
  <c r="Q464" i="2"/>
  <c r="O464" i="2"/>
  <c r="N464" i="2"/>
  <c r="M464" i="2"/>
  <c r="L464" i="2"/>
  <c r="P464" i="2" s="1"/>
  <c r="R464" i="2" s="1"/>
  <c r="Q463" i="2"/>
  <c r="O463" i="2"/>
  <c r="N463" i="2"/>
  <c r="M463" i="2"/>
  <c r="L463" i="2"/>
  <c r="P463" i="2" s="1"/>
  <c r="R463" i="2" s="1"/>
  <c r="Q462" i="2"/>
  <c r="O462" i="2"/>
  <c r="N462" i="2"/>
  <c r="M462" i="2"/>
  <c r="L462" i="2"/>
  <c r="P462" i="2" s="1"/>
  <c r="R462" i="2" s="1"/>
  <c r="Q461" i="2"/>
  <c r="O461" i="2"/>
  <c r="N461" i="2"/>
  <c r="M461" i="2"/>
  <c r="L461" i="2"/>
  <c r="P461" i="2" s="1"/>
  <c r="R461" i="2" s="1"/>
  <c r="Q460" i="2"/>
  <c r="O460" i="2"/>
  <c r="N460" i="2"/>
  <c r="M460" i="2"/>
  <c r="L460" i="2"/>
  <c r="P460" i="2" s="1"/>
  <c r="R460" i="2" s="1"/>
  <c r="Q459" i="2"/>
  <c r="O459" i="2"/>
  <c r="N459" i="2"/>
  <c r="M459" i="2"/>
  <c r="L459" i="2"/>
  <c r="P459" i="2" s="1"/>
  <c r="R459" i="2" s="1"/>
  <c r="Q458" i="2"/>
  <c r="O458" i="2"/>
  <c r="N458" i="2"/>
  <c r="M458" i="2"/>
  <c r="L458" i="2"/>
  <c r="P458" i="2" s="1"/>
  <c r="R458" i="2" s="1"/>
  <c r="Q457" i="2"/>
  <c r="O457" i="2"/>
  <c r="N457" i="2"/>
  <c r="M457" i="2"/>
  <c r="L457" i="2"/>
  <c r="P457" i="2" s="1"/>
  <c r="R457" i="2" s="1"/>
  <c r="Q456" i="2"/>
  <c r="O456" i="2"/>
  <c r="N456" i="2"/>
  <c r="M456" i="2"/>
  <c r="L456" i="2"/>
  <c r="P456" i="2" s="1"/>
  <c r="R456" i="2" s="1"/>
  <c r="Q455" i="2"/>
  <c r="O455" i="2"/>
  <c r="N455" i="2"/>
  <c r="M455" i="2"/>
  <c r="L455" i="2"/>
  <c r="P455" i="2" s="1"/>
  <c r="R455" i="2" s="1"/>
  <c r="Q454" i="2"/>
  <c r="O454" i="2"/>
  <c r="N454" i="2"/>
  <c r="M454" i="2"/>
  <c r="L454" i="2"/>
  <c r="P454" i="2" s="1"/>
  <c r="R454" i="2" s="1"/>
  <c r="Q453" i="2"/>
  <c r="O453" i="2"/>
  <c r="N453" i="2"/>
  <c r="M453" i="2"/>
  <c r="L453" i="2"/>
  <c r="P453" i="2" s="1"/>
  <c r="R453" i="2" s="1"/>
  <c r="Q452" i="2"/>
  <c r="O452" i="2"/>
  <c r="N452" i="2"/>
  <c r="M452" i="2"/>
  <c r="L452" i="2"/>
  <c r="P452" i="2" s="1"/>
  <c r="R452" i="2" s="1"/>
  <c r="Q451" i="2"/>
  <c r="O451" i="2"/>
  <c r="N451" i="2"/>
  <c r="M451" i="2"/>
  <c r="L451" i="2"/>
  <c r="P451" i="2" s="1"/>
  <c r="R451" i="2" s="1"/>
  <c r="Q450" i="2"/>
  <c r="O450" i="2"/>
  <c r="N450" i="2"/>
  <c r="M450" i="2"/>
  <c r="L450" i="2"/>
  <c r="P450" i="2" s="1"/>
  <c r="R450" i="2" s="1"/>
  <c r="Q449" i="2"/>
  <c r="O449" i="2"/>
  <c r="N449" i="2"/>
  <c r="M449" i="2"/>
  <c r="L449" i="2"/>
  <c r="P449" i="2" s="1"/>
  <c r="R449" i="2" s="1"/>
  <c r="Q448" i="2"/>
  <c r="O448" i="2"/>
  <c r="N448" i="2"/>
  <c r="M448" i="2"/>
  <c r="L448" i="2"/>
  <c r="P448" i="2" s="1"/>
  <c r="R448" i="2" s="1"/>
  <c r="Q447" i="2"/>
  <c r="O447" i="2"/>
  <c r="N447" i="2"/>
  <c r="M447" i="2"/>
  <c r="L447" i="2"/>
  <c r="P447" i="2" s="1"/>
  <c r="R447" i="2" s="1"/>
  <c r="Q446" i="2"/>
  <c r="O446" i="2"/>
  <c r="N446" i="2"/>
  <c r="M446" i="2"/>
  <c r="L446" i="2"/>
  <c r="P446" i="2" s="1"/>
  <c r="R446" i="2" s="1"/>
  <c r="Q445" i="2"/>
  <c r="O445" i="2"/>
  <c r="N445" i="2"/>
  <c r="M445" i="2"/>
  <c r="L445" i="2"/>
  <c r="P445" i="2" s="1"/>
  <c r="R445" i="2" s="1"/>
  <c r="Q444" i="2"/>
  <c r="O444" i="2"/>
  <c r="N444" i="2"/>
  <c r="M444" i="2"/>
  <c r="L444" i="2"/>
  <c r="P444" i="2" s="1"/>
  <c r="R444" i="2" s="1"/>
  <c r="Q443" i="2"/>
  <c r="O443" i="2"/>
  <c r="N443" i="2"/>
  <c r="M443" i="2"/>
  <c r="L443" i="2"/>
  <c r="P443" i="2" s="1"/>
  <c r="R443" i="2" s="1"/>
  <c r="Q442" i="2"/>
  <c r="O442" i="2"/>
  <c r="N442" i="2"/>
  <c r="M442" i="2"/>
  <c r="L442" i="2"/>
  <c r="P442" i="2" s="1"/>
  <c r="R442" i="2" s="1"/>
  <c r="Q441" i="2"/>
  <c r="O441" i="2"/>
  <c r="N441" i="2"/>
  <c r="M441" i="2"/>
  <c r="L441" i="2"/>
  <c r="P441" i="2" s="1"/>
  <c r="R441" i="2" s="1"/>
  <c r="Q440" i="2"/>
  <c r="O440" i="2"/>
  <c r="N440" i="2"/>
  <c r="M440" i="2"/>
  <c r="L440" i="2"/>
  <c r="P440" i="2" s="1"/>
  <c r="R440" i="2" s="1"/>
  <c r="Q439" i="2"/>
  <c r="O439" i="2"/>
  <c r="N439" i="2"/>
  <c r="M439" i="2"/>
  <c r="L439" i="2"/>
  <c r="P439" i="2" s="1"/>
  <c r="R439" i="2" s="1"/>
  <c r="Q438" i="2"/>
  <c r="O438" i="2"/>
  <c r="N438" i="2"/>
  <c r="M438" i="2"/>
  <c r="L438" i="2"/>
  <c r="P438" i="2" s="1"/>
  <c r="R438" i="2" s="1"/>
  <c r="Q437" i="2"/>
  <c r="O437" i="2"/>
  <c r="N437" i="2"/>
  <c r="M437" i="2"/>
  <c r="L437" i="2"/>
  <c r="P437" i="2" s="1"/>
  <c r="R437" i="2" s="1"/>
  <c r="Q436" i="2"/>
  <c r="O436" i="2"/>
  <c r="N436" i="2"/>
  <c r="M436" i="2"/>
  <c r="L436" i="2"/>
  <c r="P436" i="2" s="1"/>
  <c r="R436" i="2" s="1"/>
  <c r="Q435" i="2"/>
  <c r="O435" i="2"/>
  <c r="N435" i="2"/>
  <c r="M435" i="2"/>
  <c r="L435" i="2"/>
  <c r="P435" i="2" s="1"/>
  <c r="R435" i="2" s="1"/>
  <c r="Q434" i="2"/>
  <c r="O434" i="2"/>
  <c r="N434" i="2"/>
  <c r="M434" i="2"/>
  <c r="L434" i="2"/>
  <c r="P434" i="2" s="1"/>
  <c r="R434" i="2" s="1"/>
  <c r="Q433" i="2"/>
  <c r="O433" i="2"/>
  <c r="N433" i="2"/>
  <c r="M433" i="2"/>
  <c r="L433" i="2"/>
  <c r="P433" i="2" s="1"/>
  <c r="R433" i="2" s="1"/>
  <c r="Q432" i="2"/>
  <c r="O432" i="2"/>
  <c r="N432" i="2"/>
  <c r="M432" i="2"/>
  <c r="L432" i="2"/>
  <c r="P432" i="2" s="1"/>
  <c r="R432" i="2" s="1"/>
  <c r="Q431" i="2"/>
  <c r="O431" i="2"/>
  <c r="N431" i="2"/>
  <c r="M431" i="2"/>
  <c r="L431" i="2"/>
  <c r="P431" i="2" s="1"/>
  <c r="R431" i="2" s="1"/>
  <c r="Q430" i="2"/>
  <c r="O430" i="2"/>
  <c r="N430" i="2"/>
  <c r="M430" i="2"/>
  <c r="L430" i="2"/>
  <c r="P430" i="2" s="1"/>
  <c r="R430" i="2" s="1"/>
  <c r="Q429" i="2"/>
  <c r="O429" i="2"/>
  <c r="N429" i="2"/>
  <c r="M429" i="2"/>
  <c r="L429" i="2"/>
  <c r="P429" i="2" s="1"/>
  <c r="R429" i="2" s="1"/>
  <c r="Q428" i="2"/>
  <c r="O428" i="2"/>
  <c r="N428" i="2"/>
  <c r="M428" i="2"/>
  <c r="L428" i="2"/>
  <c r="P428" i="2" s="1"/>
  <c r="R428" i="2" s="1"/>
  <c r="Q427" i="2"/>
  <c r="O427" i="2"/>
  <c r="N427" i="2"/>
  <c r="M427" i="2"/>
  <c r="L427" i="2"/>
  <c r="P427" i="2" s="1"/>
  <c r="R427" i="2" s="1"/>
  <c r="Q426" i="2"/>
  <c r="O426" i="2"/>
  <c r="N426" i="2"/>
  <c r="M426" i="2"/>
  <c r="L426" i="2"/>
  <c r="P426" i="2" s="1"/>
  <c r="R426" i="2" s="1"/>
  <c r="Q425" i="2"/>
  <c r="O425" i="2"/>
  <c r="N425" i="2"/>
  <c r="M425" i="2"/>
  <c r="L425" i="2"/>
  <c r="P425" i="2" s="1"/>
  <c r="R425" i="2" s="1"/>
  <c r="Q424" i="2"/>
  <c r="O424" i="2"/>
  <c r="N424" i="2"/>
  <c r="M424" i="2"/>
  <c r="L424" i="2"/>
  <c r="P424" i="2" s="1"/>
  <c r="R424" i="2" s="1"/>
  <c r="Q423" i="2"/>
  <c r="O423" i="2"/>
  <c r="N423" i="2"/>
  <c r="M423" i="2"/>
  <c r="L423" i="2"/>
  <c r="P423" i="2" s="1"/>
  <c r="R423" i="2" s="1"/>
  <c r="Q422" i="2"/>
  <c r="O422" i="2"/>
  <c r="N422" i="2"/>
  <c r="M422" i="2"/>
  <c r="L422" i="2"/>
  <c r="P422" i="2" s="1"/>
  <c r="R422" i="2" s="1"/>
  <c r="Q421" i="2"/>
  <c r="O421" i="2"/>
  <c r="N421" i="2"/>
  <c r="M421" i="2"/>
  <c r="L421" i="2"/>
  <c r="P421" i="2" s="1"/>
  <c r="R421" i="2" s="1"/>
  <c r="Q420" i="2"/>
  <c r="O420" i="2"/>
  <c r="N420" i="2"/>
  <c r="M420" i="2"/>
  <c r="L420" i="2"/>
  <c r="P420" i="2" s="1"/>
  <c r="R420" i="2" s="1"/>
  <c r="Q419" i="2"/>
  <c r="O419" i="2"/>
  <c r="N419" i="2"/>
  <c r="M419" i="2"/>
  <c r="L419" i="2"/>
  <c r="P419" i="2" s="1"/>
  <c r="R419" i="2" s="1"/>
  <c r="Q418" i="2"/>
  <c r="O418" i="2"/>
  <c r="N418" i="2"/>
  <c r="M418" i="2"/>
  <c r="L418" i="2"/>
  <c r="P418" i="2" s="1"/>
  <c r="R418" i="2" s="1"/>
  <c r="Q417" i="2"/>
  <c r="O417" i="2"/>
  <c r="N417" i="2"/>
  <c r="M417" i="2"/>
  <c r="L417" i="2"/>
  <c r="P417" i="2" s="1"/>
  <c r="R417" i="2" s="1"/>
  <c r="Q416" i="2"/>
  <c r="O416" i="2"/>
  <c r="N416" i="2"/>
  <c r="M416" i="2"/>
  <c r="L416" i="2"/>
  <c r="P416" i="2" s="1"/>
  <c r="R416" i="2" s="1"/>
  <c r="Q415" i="2"/>
  <c r="O415" i="2"/>
  <c r="N415" i="2"/>
  <c r="M415" i="2"/>
  <c r="L415" i="2"/>
  <c r="P415" i="2" s="1"/>
  <c r="R415" i="2" s="1"/>
  <c r="Q414" i="2"/>
  <c r="O414" i="2"/>
  <c r="N414" i="2"/>
  <c r="M414" i="2"/>
  <c r="L414" i="2"/>
  <c r="P414" i="2" s="1"/>
  <c r="R414" i="2" s="1"/>
  <c r="Q413" i="2"/>
  <c r="O413" i="2"/>
  <c r="N413" i="2"/>
  <c r="M413" i="2"/>
  <c r="L413" i="2"/>
  <c r="P413" i="2" s="1"/>
  <c r="R413" i="2" s="1"/>
  <c r="Q412" i="2"/>
  <c r="O412" i="2"/>
  <c r="N412" i="2"/>
  <c r="M412" i="2"/>
  <c r="L412" i="2"/>
  <c r="P412" i="2" s="1"/>
  <c r="R412" i="2" s="1"/>
  <c r="Q411" i="2"/>
  <c r="O411" i="2"/>
  <c r="N411" i="2"/>
  <c r="M411" i="2"/>
  <c r="L411" i="2"/>
  <c r="P411" i="2" s="1"/>
  <c r="R411" i="2" s="1"/>
  <c r="Q410" i="2"/>
  <c r="O410" i="2"/>
  <c r="N410" i="2"/>
  <c r="M410" i="2"/>
  <c r="L410" i="2"/>
  <c r="P410" i="2" s="1"/>
  <c r="R410" i="2" s="1"/>
  <c r="Q409" i="2"/>
  <c r="O409" i="2"/>
  <c r="N409" i="2"/>
  <c r="M409" i="2"/>
  <c r="L409" i="2"/>
  <c r="P409" i="2" s="1"/>
  <c r="R409" i="2" s="1"/>
  <c r="Q408" i="2"/>
  <c r="O408" i="2"/>
  <c r="N408" i="2"/>
  <c r="M408" i="2"/>
  <c r="L408" i="2"/>
  <c r="P408" i="2" s="1"/>
  <c r="R408" i="2" s="1"/>
  <c r="Q407" i="2"/>
  <c r="O407" i="2"/>
  <c r="N407" i="2"/>
  <c r="M407" i="2"/>
  <c r="L407" i="2"/>
  <c r="P407" i="2" s="1"/>
  <c r="R407" i="2" s="1"/>
  <c r="Q406" i="2"/>
  <c r="O406" i="2"/>
  <c r="N406" i="2"/>
  <c r="M406" i="2"/>
  <c r="L406" i="2"/>
  <c r="P406" i="2" s="1"/>
  <c r="R406" i="2" s="1"/>
  <c r="Q405" i="2"/>
  <c r="O405" i="2"/>
  <c r="N405" i="2"/>
  <c r="M405" i="2"/>
  <c r="L405" i="2"/>
  <c r="P405" i="2" s="1"/>
  <c r="R405" i="2" s="1"/>
  <c r="Q404" i="2"/>
  <c r="O404" i="2"/>
  <c r="N404" i="2"/>
  <c r="M404" i="2"/>
  <c r="L404" i="2"/>
  <c r="P404" i="2" s="1"/>
  <c r="R404" i="2" s="1"/>
  <c r="Q403" i="2"/>
  <c r="O403" i="2"/>
  <c r="N403" i="2"/>
  <c r="M403" i="2"/>
  <c r="L403" i="2"/>
  <c r="P403" i="2" s="1"/>
  <c r="R403" i="2" s="1"/>
  <c r="Q402" i="2"/>
  <c r="O402" i="2"/>
  <c r="N402" i="2"/>
  <c r="M402" i="2"/>
  <c r="L402" i="2"/>
  <c r="P402" i="2" s="1"/>
  <c r="R402" i="2" s="1"/>
  <c r="Q401" i="2"/>
  <c r="O401" i="2"/>
  <c r="N401" i="2"/>
  <c r="M401" i="2"/>
  <c r="L401" i="2"/>
  <c r="P401" i="2" s="1"/>
  <c r="R401" i="2" s="1"/>
  <c r="Q400" i="2"/>
  <c r="O400" i="2"/>
  <c r="N400" i="2"/>
  <c r="M400" i="2"/>
  <c r="L400" i="2"/>
  <c r="P400" i="2" s="1"/>
  <c r="R400" i="2" s="1"/>
  <c r="Q399" i="2"/>
  <c r="O399" i="2"/>
  <c r="N399" i="2"/>
  <c r="M399" i="2"/>
  <c r="L399" i="2"/>
  <c r="P399" i="2" s="1"/>
  <c r="R399" i="2" s="1"/>
  <c r="Q398" i="2"/>
  <c r="O398" i="2"/>
  <c r="N398" i="2"/>
  <c r="M398" i="2"/>
  <c r="L398" i="2"/>
  <c r="P398" i="2" s="1"/>
  <c r="R398" i="2" s="1"/>
  <c r="Q397" i="2"/>
  <c r="O397" i="2"/>
  <c r="N397" i="2"/>
  <c r="M397" i="2"/>
  <c r="L397" i="2"/>
  <c r="P397" i="2" s="1"/>
  <c r="R397" i="2" s="1"/>
  <c r="Q396" i="2"/>
  <c r="O396" i="2"/>
  <c r="N396" i="2"/>
  <c r="M396" i="2"/>
  <c r="L396" i="2"/>
  <c r="P396" i="2" s="1"/>
  <c r="R396" i="2" s="1"/>
  <c r="Q395" i="2"/>
  <c r="O395" i="2"/>
  <c r="N395" i="2"/>
  <c r="M395" i="2"/>
  <c r="L395" i="2"/>
  <c r="P395" i="2" s="1"/>
  <c r="R395" i="2" s="1"/>
  <c r="Q394" i="2"/>
  <c r="O394" i="2"/>
  <c r="N394" i="2"/>
  <c r="M394" i="2"/>
  <c r="L394" i="2"/>
  <c r="P394" i="2" s="1"/>
  <c r="R394" i="2" s="1"/>
  <c r="Q393" i="2"/>
  <c r="O393" i="2"/>
  <c r="N393" i="2"/>
  <c r="M393" i="2"/>
  <c r="L393" i="2"/>
  <c r="P393" i="2" s="1"/>
  <c r="R393" i="2" s="1"/>
  <c r="Q392" i="2"/>
  <c r="O392" i="2"/>
  <c r="N392" i="2"/>
  <c r="M392" i="2"/>
  <c r="L392" i="2"/>
  <c r="P392" i="2" s="1"/>
  <c r="R392" i="2" s="1"/>
  <c r="Q391" i="2"/>
  <c r="O391" i="2"/>
  <c r="N391" i="2"/>
  <c r="M391" i="2"/>
  <c r="L391" i="2"/>
  <c r="P391" i="2" s="1"/>
  <c r="R391" i="2" s="1"/>
  <c r="Q390" i="2"/>
  <c r="O390" i="2"/>
  <c r="N390" i="2"/>
  <c r="M390" i="2"/>
  <c r="L390" i="2"/>
  <c r="P390" i="2" s="1"/>
  <c r="R390" i="2" s="1"/>
  <c r="Q389" i="2"/>
  <c r="O389" i="2"/>
  <c r="N389" i="2"/>
  <c r="M389" i="2"/>
  <c r="L389" i="2"/>
  <c r="P389" i="2" s="1"/>
  <c r="R389" i="2" s="1"/>
  <c r="Q388" i="2"/>
  <c r="O388" i="2"/>
  <c r="N388" i="2"/>
  <c r="M388" i="2"/>
  <c r="L388" i="2"/>
  <c r="P388" i="2" s="1"/>
  <c r="R388" i="2" s="1"/>
  <c r="Q387" i="2"/>
  <c r="O387" i="2"/>
  <c r="N387" i="2"/>
  <c r="M387" i="2"/>
  <c r="L387" i="2"/>
  <c r="P387" i="2" s="1"/>
  <c r="R387" i="2" s="1"/>
  <c r="Q386" i="2"/>
  <c r="O386" i="2"/>
  <c r="N386" i="2"/>
  <c r="M386" i="2"/>
  <c r="L386" i="2"/>
  <c r="P386" i="2" s="1"/>
  <c r="R386" i="2" s="1"/>
  <c r="Q385" i="2"/>
  <c r="O385" i="2"/>
  <c r="N385" i="2"/>
  <c r="M385" i="2"/>
  <c r="L385" i="2"/>
  <c r="P385" i="2" s="1"/>
  <c r="R385" i="2" s="1"/>
  <c r="Q384" i="2"/>
  <c r="O384" i="2"/>
  <c r="N384" i="2"/>
  <c r="M384" i="2"/>
  <c r="L384" i="2"/>
  <c r="P384" i="2" s="1"/>
  <c r="R384" i="2" s="1"/>
  <c r="Q383" i="2"/>
  <c r="O383" i="2"/>
  <c r="N383" i="2"/>
  <c r="M383" i="2"/>
  <c r="L383" i="2"/>
  <c r="P383" i="2" s="1"/>
  <c r="R383" i="2" s="1"/>
  <c r="Q382" i="2"/>
  <c r="O382" i="2"/>
  <c r="N382" i="2"/>
  <c r="M382" i="2"/>
  <c r="L382" i="2"/>
  <c r="P382" i="2" s="1"/>
  <c r="R382" i="2" s="1"/>
  <c r="Q381" i="2"/>
  <c r="O381" i="2"/>
  <c r="N381" i="2"/>
  <c r="M381" i="2"/>
  <c r="L381" i="2"/>
  <c r="P381" i="2" s="1"/>
  <c r="R381" i="2" s="1"/>
  <c r="Q380" i="2"/>
  <c r="O380" i="2"/>
  <c r="N380" i="2"/>
  <c r="M380" i="2"/>
  <c r="L380" i="2"/>
  <c r="P380" i="2" s="1"/>
  <c r="R380" i="2" s="1"/>
  <c r="Q379" i="2"/>
  <c r="O379" i="2"/>
  <c r="N379" i="2"/>
  <c r="M379" i="2"/>
  <c r="L379" i="2"/>
  <c r="P379" i="2" s="1"/>
  <c r="R379" i="2" s="1"/>
  <c r="Q378" i="2"/>
  <c r="O378" i="2"/>
  <c r="N378" i="2"/>
  <c r="M378" i="2"/>
  <c r="L378" i="2"/>
  <c r="P378" i="2" s="1"/>
  <c r="R378" i="2" s="1"/>
  <c r="Q377" i="2"/>
  <c r="O377" i="2"/>
  <c r="N377" i="2"/>
  <c r="M377" i="2"/>
  <c r="L377" i="2"/>
  <c r="P377" i="2" s="1"/>
  <c r="R377" i="2" s="1"/>
  <c r="Q376" i="2"/>
  <c r="O376" i="2"/>
  <c r="N376" i="2"/>
  <c r="M376" i="2"/>
  <c r="L376" i="2"/>
  <c r="P376" i="2" s="1"/>
  <c r="R376" i="2" s="1"/>
  <c r="Q375" i="2"/>
  <c r="O375" i="2"/>
  <c r="N375" i="2"/>
  <c r="M375" i="2"/>
  <c r="L375" i="2"/>
  <c r="P375" i="2" s="1"/>
  <c r="R375" i="2" s="1"/>
  <c r="Q374" i="2"/>
  <c r="O374" i="2"/>
  <c r="N374" i="2"/>
  <c r="M374" i="2"/>
  <c r="L374" i="2"/>
  <c r="P374" i="2" s="1"/>
  <c r="R374" i="2" s="1"/>
  <c r="Q373" i="2"/>
  <c r="O373" i="2"/>
  <c r="N373" i="2"/>
  <c r="M373" i="2"/>
  <c r="L373" i="2"/>
  <c r="P373" i="2" s="1"/>
  <c r="R373" i="2" s="1"/>
  <c r="Q372" i="2"/>
  <c r="O372" i="2"/>
  <c r="N372" i="2"/>
  <c r="M372" i="2"/>
  <c r="L372" i="2"/>
  <c r="P372" i="2" s="1"/>
  <c r="R372" i="2" s="1"/>
  <c r="Q371" i="2"/>
  <c r="O371" i="2"/>
  <c r="N371" i="2"/>
  <c r="M371" i="2"/>
  <c r="L371" i="2"/>
  <c r="P371" i="2" s="1"/>
  <c r="R371" i="2" s="1"/>
  <c r="Q370" i="2"/>
  <c r="O370" i="2"/>
  <c r="N370" i="2"/>
  <c r="M370" i="2"/>
  <c r="L370" i="2"/>
  <c r="P370" i="2" s="1"/>
  <c r="R370" i="2" s="1"/>
  <c r="Q369" i="2"/>
  <c r="O369" i="2"/>
  <c r="N369" i="2"/>
  <c r="M369" i="2"/>
  <c r="L369" i="2"/>
  <c r="P369" i="2" s="1"/>
  <c r="R369" i="2" s="1"/>
  <c r="Q368" i="2"/>
  <c r="O368" i="2"/>
  <c r="N368" i="2"/>
  <c r="M368" i="2"/>
  <c r="L368" i="2"/>
  <c r="P368" i="2" s="1"/>
  <c r="R368" i="2" s="1"/>
  <c r="Q367" i="2"/>
  <c r="O367" i="2"/>
  <c r="N367" i="2"/>
  <c r="M367" i="2"/>
  <c r="L367" i="2"/>
  <c r="P367" i="2" s="1"/>
  <c r="R367" i="2" s="1"/>
  <c r="Q366" i="2"/>
  <c r="O366" i="2"/>
  <c r="N366" i="2"/>
  <c r="M366" i="2"/>
  <c r="L366" i="2"/>
  <c r="P366" i="2" s="1"/>
  <c r="R366" i="2" s="1"/>
  <c r="Q365" i="2"/>
  <c r="O365" i="2"/>
  <c r="N365" i="2"/>
  <c r="M365" i="2"/>
  <c r="L365" i="2"/>
  <c r="P365" i="2" s="1"/>
  <c r="R365" i="2" s="1"/>
  <c r="Q364" i="2"/>
  <c r="O364" i="2"/>
  <c r="N364" i="2"/>
  <c r="M364" i="2"/>
  <c r="L364" i="2"/>
  <c r="P364" i="2" s="1"/>
  <c r="R364" i="2" s="1"/>
  <c r="Q363" i="2"/>
  <c r="O363" i="2"/>
  <c r="N363" i="2"/>
  <c r="M363" i="2"/>
  <c r="L363" i="2"/>
  <c r="P363" i="2" s="1"/>
  <c r="R363" i="2" s="1"/>
  <c r="Q362" i="2"/>
  <c r="O362" i="2"/>
  <c r="N362" i="2"/>
  <c r="M362" i="2"/>
  <c r="L362" i="2"/>
  <c r="P362" i="2" s="1"/>
  <c r="R362" i="2" s="1"/>
  <c r="Q361" i="2"/>
  <c r="O361" i="2"/>
  <c r="N361" i="2"/>
  <c r="M361" i="2"/>
  <c r="L361" i="2"/>
  <c r="P361" i="2" s="1"/>
  <c r="R361" i="2" s="1"/>
  <c r="Q360" i="2"/>
  <c r="O360" i="2"/>
  <c r="N360" i="2"/>
  <c r="M360" i="2"/>
  <c r="L360" i="2"/>
  <c r="P360" i="2" s="1"/>
  <c r="R360" i="2" s="1"/>
  <c r="Q359" i="2"/>
  <c r="O359" i="2"/>
  <c r="N359" i="2"/>
  <c r="M359" i="2"/>
  <c r="L359" i="2"/>
  <c r="P359" i="2" s="1"/>
  <c r="R359" i="2" s="1"/>
  <c r="Q358" i="2"/>
  <c r="O358" i="2"/>
  <c r="N358" i="2"/>
  <c r="M358" i="2"/>
  <c r="L358" i="2"/>
  <c r="P358" i="2" s="1"/>
  <c r="R358" i="2" s="1"/>
  <c r="Q357" i="2"/>
  <c r="O357" i="2"/>
  <c r="N357" i="2"/>
  <c r="M357" i="2"/>
  <c r="L357" i="2"/>
  <c r="P357" i="2" s="1"/>
  <c r="R357" i="2" s="1"/>
  <c r="Q356" i="2"/>
  <c r="O356" i="2"/>
  <c r="N356" i="2"/>
  <c r="M356" i="2"/>
  <c r="L356" i="2"/>
  <c r="P356" i="2" s="1"/>
  <c r="R356" i="2" s="1"/>
  <c r="Q355" i="2"/>
  <c r="O355" i="2"/>
  <c r="N355" i="2"/>
  <c r="M355" i="2"/>
  <c r="L355" i="2"/>
  <c r="P355" i="2" s="1"/>
  <c r="R355" i="2" s="1"/>
  <c r="Q354" i="2"/>
  <c r="O354" i="2"/>
  <c r="N354" i="2"/>
  <c r="M354" i="2"/>
  <c r="L354" i="2"/>
  <c r="P354" i="2" s="1"/>
  <c r="R354" i="2" s="1"/>
  <c r="Q353" i="2"/>
  <c r="O353" i="2"/>
  <c r="N353" i="2"/>
  <c r="M353" i="2"/>
  <c r="L353" i="2"/>
  <c r="P353" i="2" s="1"/>
  <c r="R353" i="2" s="1"/>
  <c r="Q352" i="2"/>
  <c r="O352" i="2"/>
  <c r="N352" i="2"/>
  <c r="M352" i="2"/>
  <c r="L352" i="2"/>
  <c r="P352" i="2" s="1"/>
  <c r="R352" i="2" s="1"/>
  <c r="Q351" i="2"/>
  <c r="O351" i="2"/>
  <c r="N351" i="2"/>
  <c r="M351" i="2"/>
  <c r="L351" i="2"/>
  <c r="P351" i="2" s="1"/>
  <c r="R351" i="2" s="1"/>
  <c r="Q350" i="2"/>
  <c r="O350" i="2"/>
  <c r="N350" i="2"/>
  <c r="M350" i="2"/>
  <c r="L350" i="2"/>
  <c r="P350" i="2" s="1"/>
  <c r="R350" i="2" s="1"/>
  <c r="Q349" i="2"/>
  <c r="O349" i="2"/>
  <c r="N349" i="2"/>
  <c r="M349" i="2"/>
  <c r="L349" i="2"/>
  <c r="P349" i="2" s="1"/>
  <c r="R349" i="2" s="1"/>
  <c r="Q348" i="2"/>
  <c r="O348" i="2"/>
  <c r="N348" i="2"/>
  <c r="M348" i="2"/>
  <c r="L348" i="2"/>
  <c r="P348" i="2" s="1"/>
  <c r="R348" i="2" s="1"/>
  <c r="Q347" i="2"/>
  <c r="O347" i="2"/>
  <c r="N347" i="2"/>
  <c r="M347" i="2"/>
  <c r="L347" i="2"/>
  <c r="P347" i="2" s="1"/>
  <c r="R347" i="2" s="1"/>
  <c r="Q346" i="2"/>
  <c r="O346" i="2"/>
  <c r="N346" i="2"/>
  <c r="M346" i="2"/>
  <c r="L346" i="2"/>
  <c r="P346" i="2" s="1"/>
  <c r="R346" i="2" s="1"/>
  <c r="Q345" i="2"/>
  <c r="O345" i="2"/>
  <c r="N345" i="2"/>
  <c r="M345" i="2"/>
  <c r="L345" i="2"/>
  <c r="P345" i="2" s="1"/>
  <c r="R345" i="2" s="1"/>
  <c r="Q344" i="2"/>
  <c r="O344" i="2"/>
  <c r="N344" i="2"/>
  <c r="M344" i="2"/>
  <c r="L344" i="2"/>
  <c r="P344" i="2" s="1"/>
  <c r="R344" i="2" s="1"/>
  <c r="Q343" i="2"/>
  <c r="O343" i="2"/>
  <c r="N343" i="2"/>
  <c r="M343" i="2"/>
  <c r="L343" i="2"/>
  <c r="P343" i="2" s="1"/>
  <c r="R343" i="2" s="1"/>
  <c r="Q342" i="2"/>
  <c r="O342" i="2"/>
  <c r="N342" i="2"/>
  <c r="M342" i="2"/>
  <c r="L342" i="2"/>
  <c r="P342" i="2" s="1"/>
  <c r="R342" i="2" s="1"/>
  <c r="Q341" i="2"/>
  <c r="O341" i="2"/>
  <c r="N341" i="2"/>
  <c r="M341" i="2"/>
  <c r="L341" i="2"/>
  <c r="P341" i="2" s="1"/>
  <c r="R341" i="2" s="1"/>
  <c r="Q340" i="2"/>
  <c r="O340" i="2"/>
  <c r="N340" i="2"/>
  <c r="M340" i="2"/>
  <c r="L340" i="2"/>
  <c r="P340" i="2" s="1"/>
  <c r="R340" i="2" s="1"/>
  <c r="Q339" i="2"/>
  <c r="O339" i="2"/>
  <c r="N339" i="2"/>
  <c r="M339" i="2"/>
  <c r="L339" i="2"/>
  <c r="P339" i="2" s="1"/>
  <c r="R339" i="2" s="1"/>
  <c r="Q338" i="2"/>
  <c r="O338" i="2"/>
  <c r="N338" i="2"/>
  <c r="M338" i="2"/>
  <c r="L338" i="2"/>
  <c r="P338" i="2" s="1"/>
  <c r="R338" i="2" s="1"/>
  <c r="Q337" i="2"/>
  <c r="O337" i="2"/>
  <c r="N337" i="2"/>
  <c r="M337" i="2"/>
  <c r="L337" i="2"/>
  <c r="P337" i="2" s="1"/>
  <c r="R337" i="2" s="1"/>
  <c r="Q336" i="2"/>
  <c r="O336" i="2"/>
  <c r="N336" i="2"/>
  <c r="M336" i="2"/>
  <c r="L336" i="2"/>
  <c r="P336" i="2" s="1"/>
  <c r="R336" i="2" s="1"/>
  <c r="Q335" i="2"/>
  <c r="O335" i="2"/>
  <c r="N335" i="2"/>
  <c r="M335" i="2"/>
  <c r="L335" i="2"/>
  <c r="P335" i="2" s="1"/>
  <c r="R335" i="2" s="1"/>
  <c r="Q334" i="2"/>
  <c r="O334" i="2"/>
  <c r="N334" i="2"/>
  <c r="M334" i="2"/>
  <c r="L334" i="2"/>
  <c r="P334" i="2" s="1"/>
  <c r="R334" i="2" s="1"/>
  <c r="Q333" i="2"/>
  <c r="O333" i="2"/>
  <c r="N333" i="2"/>
  <c r="M333" i="2"/>
  <c r="L333" i="2"/>
  <c r="P333" i="2" s="1"/>
  <c r="R333" i="2" s="1"/>
  <c r="Q332" i="2"/>
  <c r="O332" i="2"/>
  <c r="N332" i="2"/>
  <c r="M332" i="2"/>
  <c r="L332" i="2"/>
  <c r="P332" i="2" s="1"/>
  <c r="R332" i="2" s="1"/>
  <c r="Q331" i="2"/>
  <c r="O331" i="2"/>
  <c r="N331" i="2"/>
  <c r="M331" i="2"/>
  <c r="L331" i="2"/>
  <c r="P331" i="2" s="1"/>
  <c r="R331" i="2" s="1"/>
  <c r="Q330" i="2"/>
  <c r="O330" i="2"/>
  <c r="N330" i="2"/>
  <c r="M330" i="2"/>
  <c r="L330" i="2"/>
  <c r="P330" i="2" s="1"/>
  <c r="R330" i="2" s="1"/>
  <c r="Q329" i="2"/>
  <c r="O329" i="2"/>
  <c r="N329" i="2"/>
  <c r="M329" i="2"/>
  <c r="L329" i="2"/>
  <c r="P329" i="2" s="1"/>
  <c r="R329" i="2" s="1"/>
  <c r="Q328" i="2"/>
  <c r="O328" i="2"/>
  <c r="N328" i="2"/>
  <c r="M328" i="2"/>
  <c r="L328" i="2"/>
  <c r="P328" i="2" s="1"/>
  <c r="R328" i="2" s="1"/>
  <c r="Q327" i="2"/>
  <c r="O327" i="2"/>
  <c r="N327" i="2"/>
  <c r="M327" i="2"/>
  <c r="L327" i="2"/>
  <c r="P327" i="2" s="1"/>
  <c r="R327" i="2" s="1"/>
  <c r="Q326" i="2"/>
  <c r="O326" i="2"/>
  <c r="N326" i="2"/>
  <c r="M326" i="2"/>
  <c r="L326" i="2"/>
  <c r="P326" i="2" s="1"/>
  <c r="R326" i="2" s="1"/>
  <c r="Q325" i="2"/>
  <c r="O325" i="2"/>
  <c r="N325" i="2"/>
  <c r="M325" i="2"/>
  <c r="L325" i="2"/>
  <c r="P325" i="2" s="1"/>
  <c r="R325" i="2" s="1"/>
  <c r="Q324" i="2"/>
  <c r="O324" i="2"/>
  <c r="N324" i="2"/>
  <c r="M324" i="2"/>
  <c r="L324" i="2"/>
  <c r="P324" i="2" s="1"/>
  <c r="R324" i="2" s="1"/>
  <c r="Q323" i="2"/>
  <c r="O323" i="2"/>
  <c r="N323" i="2"/>
  <c r="M323" i="2"/>
  <c r="L323" i="2"/>
  <c r="P323" i="2" s="1"/>
  <c r="R323" i="2" s="1"/>
  <c r="Q322" i="2"/>
  <c r="O322" i="2"/>
  <c r="N322" i="2"/>
  <c r="M322" i="2"/>
  <c r="L322" i="2"/>
  <c r="P322" i="2" s="1"/>
  <c r="R322" i="2" s="1"/>
  <c r="Q321" i="2"/>
  <c r="O321" i="2"/>
  <c r="N321" i="2"/>
  <c r="M321" i="2"/>
  <c r="L321" i="2"/>
  <c r="P321" i="2" s="1"/>
  <c r="R321" i="2" s="1"/>
  <c r="Q320" i="2"/>
  <c r="O320" i="2"/>
  <c r="N320" i="2"/>
  <c r="M320" i="2"/>
  <c r="L320" i="2"/>
  <c r="P320" i="2" s="1"/>
  <c r="R320" i="2" s="1"/>
  <c r="Q319" i="2"/>
  <c r="O319" i="2"/>
  <c r="N319" i="2"/>
  <c r="M319" i="2"/>
  <c r="L319" i="2"/>
  <c r="P319" i="2" s="1"/>
  <c r="R319" i="2" s="1"/>
  <c r="Q318" i="2"/>
  <c r="O318" i="2"/>
  <c r="N318" i="2"/>
  <c r="M318" i="2"/>
  <c r="L318" i="2"/>
  <c r="P318" i="2" s="1"/>
  <c r="R318" i="2" s="1"/>
  <c r="Q317" i="2"/>
  <c r="O317" i="2"/>
  <c r="N317" i="2"/>
  <c r="M317" i="2"/>
  <c r="L317" i="2"/>
  <c r="P317" i="2" s="1"/>
  <c r="R317" i="2" s="1"/>
  <c r="Q316" i="2"/>
  <c r="O316" i="2"/>
  <c r="N316" i="2"/>
  <c r="M316" i="2"/>
  <c r="L316" i="2"/>
  <c r="P316" i="2" s="1"/>
  <c r="R316" i="2" s="1"/>
  <c r="Q315" i="2"/>
  <c r="O315" i="2"/>
  <c r="N315" i="2"/>
  <c r="M315" i="2"/>
  <c r="L315" i="2"/>
  <c r="P315" i="2" s="1"/>
  <c r="R315" i="2" s="1"/>
  <c r="Q314" i="2"/>
  <c r="O314" i="2"/>
  <c r="N314" i="2"/>
  <c r="M314" i="2"/>
  <c r="L314" i="2"/>
  <c r="P314" i="2" s="1"/>
  <c r="R314" i="2" s="1"/>
  <c r="Q313" i="2"/>
  <c r="O313" i="2"/>
  <c r="N313" i="2"/>
  <c r="M313" i="2"/>
  <c r="L313" i="2"/>
  <c r="P313" i="2" s="1"/>
  <c r="R313" i="2" s="1"/>
  <c r="Q312" i="2"/>
  <c r="O312" i="2"/>
  <c r="N312" i="2"/>
  <c r="M312" i="2"/>
  <c r="L312" i="2"/>
  <c r="P312" i="2" s="1"/>
  <c r="R312" i="2" s="1"/>
  <c r="Q311" i="2"/>
  <c r="O311" i="2"/>
  <c r="N311" i="2"/>
  <c r="M311" i="2"/>
  <c r="L311" i="2"/>
  <c r="P311" i="2" s="1"/>
  <c r="R311" i="2" s="1"/>
  <c r="Q310" i="2"/>
  <c r="O310" i="2"/>
  <c r="N310" i="2"/>
  <c r="M310" i="2"/>
  <c r="L310" i="2"/>
  <c r="P310" i="2" s="1"/>
  <c r="R310" i="2" s="1"/>
  <c r="Q309" i="2"/>
  <c r="O309" i="2"/>
  <c r="N309" i="2"/>
  <c r="M309" i="2"/>
  <c r="L309" i="2"/>
  <c r="P309" i="2" s="1"/>
  <c r="R309" i="2" s="1"/>
  <c r="Q308" i="2"/>
  <c r="O308" i="2"/>
  <c r="N308" i="2"/>
  <c r="M308" i="2"/>
  <c r="L308" i="2"/>
  <c r="P308" i="2" s="1"/>
  <c r="R308" i="2" s="1"/>
  <c r="Q307" i="2"/>
  <c r="O307" i="2"/>
  <c r="N307" i="2"/>
  <c r="M307" i="2"/>
  <c r="L307" i="2"/>
  <c r="P307" i="2" s="1"/>
  <c r="R307" i="2" s="1"/>
  <c r="Q306" i="2"/>
  <c r="O306" i="2"/>
  <c r="N306" i="2"/>
  <c r="M306" i="2"/>
  <c r="L306" i="2"/>
  <c r="P306" i="2" s="1"/>
  <c r="R306" i="2" s="1"/>
  <c r="Q305" i="2"/>
  <c r="O305" i="2"/>
  <c r="N305" i="2"/>
  <c r="M305" i="2"/>
  <c r="L305" i="2"/>
  <c r="P305" i="2" s="1"/>
  <c r="R305" i="2" s="1"/>
  <c r="Q304" i="2"/>
  <c r="O304" i="2"/>
  <c r="N304" i="2"/>
  <c r="M304" i="2"/>
  <c r="L304" i="2"/>
  <c r="P304" i="2" s="1"/>
  <c r="R304" i="2" s="1"/>
  <c r="Q303" i="2"/>
  <c r="O303" i="2"/>
  <c r="N303" i="2"/>
  <c r="M303" i="2"/>
  <c r="L303" i="2"/>
  <c r="P303" i="2" s="1"/>
  <c r="R303" i="2" s="1"/>
  <c r="Q302" i="2"/>
  <c r="O302" i="2"/>
  <c r="N302" i="2"/>
  <c r="M302" i="2"/>
  <c r="L302" i="2"/>
  <c r="P302" i="2" s="1"/>
  <c r="R302" i="2" s="1"/>
  <c r="Q301" i="2"/>
  <c r="O301" i="2"/>
  <c r="N301" i="2"/>
  <c r="M301" i="2"/>
  <c r="L301" i="2"/>
  <c r="P301" i="2" s="1"/>
  <c r="R301" i="2" s="1"/>
  <c r="Q300" i="2"/>
  <c r="O300" i="2"/>
  <c r="N300" i="2"/>
  <c r="M300" i="2"/>
  <c r="L300" i="2"/>
  <c r="P300" i="2" s="1"/>
  <c r="R300" i="2" s="1"/>
  <c r="Q299" i="2"/>
  <c r="O299" i="2"/>
  <c r="N299" i="2"/>
  <c r="M299" i="2"/>
  <c r="L299" i="2"/>
  <c r="P299" i="2" s="1"/>
  <c r="R299" i="2" s="1"/>
  <c r="Q298" i="2"/>
  <c r="O298" i="2"/>
  <c r="N298" i="2"/>
  <c r="M298" i="2"/>
  <c r="L298" i="2"/>
  <c r="P298" i="2" s="1"/>
  <c r="R298" i="2" s="1"/>
  <c r="Q297" i="2"/>
  <c r="O297" i="2"/>
  <c r="N297" i="2"/>
  <c r="M297" i="2"/>
  <c r="L297" i="2"/>
  <c r="P297" i="2" s="1"/>
  <c r="R297" i="2" s="1"/>
  <c r="Q296" i="2"/>
  <c r="O296" i="2"/>
  <c r="N296" i="2"/>
  <c r="M296" i="2"/>
  <c r="L296" i="2"/>
  <c r="P296" i="2" s="1"/>
  <c r="R296" i="2" s="1"/>
  <c r="Q295" i="2"/>
  <c r="O295" i="2"/>
  <c r="N295" i="2"/>
  <c r="M295" i="2"/>
  <c r="L295" i="2"/>
  <c r="P295" i="2" s="1"/>
  <c r="R295" i="2" s="1"/>
  <c r="Q294" i="2"/>
  <c r="O294" i="2"/>
  <c r="N294" i="2"/>
  <c r="M294" i="2"/>
  <c r="L294" i="2"/>
  <c r="P294" i="2" s="1"/>
  <c r="R294" i="2" s="1"/>
  <c r="Q293" i="2"/>
  <c r="O293" i="2"/>
  <c r="N293" i="2"/>
  <c r="M293" i="2"/>
  <c r="L293" i="2"/>
  <c r="P293" i="2" s="1"/>
  <c r="R293" i="2" s="1"/>
  <c r="Q292" i="2"/>
  <c r="O292" i="2"/>
  <c r="N292" i="2"/>
  <c r="M292" i="2"/>
  <c r="L292" i="2"/>
  <c r="P292" i="2" s="1"/>
  <c r="R292" i="2" s="1"/>
  <c r="Q291" i="2"/>
  <c r="O291" i="2"/>
  <c r="N291" i="2"/>
  <c r="M291" i="2"/>
  <c r="L291" i="2"/>
  <c r="P291" i="2" s="1"/>
  <c r="R291" i="2" s="1"/>
  <c r="Q290" i="2"/>
  <c r="O290" i="2"/>
  <c r="N290" i="2"/>
  <c r="M290" i="2"/>
  <c r="L290" i="2"/>
  <c r="P290" i="2" s="1"/>
  <c r="R290" i="2" s="1"/>
  <c r="Q289" i="2"/>
  <c r="O289" i="2"/>
  <c r="N289" i="2"/>
  <c r="M289" i="2"/>
  <c r="L289" i="2"/>
  <c r="P289" i="2" s="1"/>
  <c r="R289" i="2" s="1"/>
  <c r="Q288" i="2"/>
  <c r="O288" i="2"/>
  <c r="N288" i="2"/>
  <c r="M288" i="2"/>
  <c r="L288" i="2"/>
  <c r="P288" i="2" s="1"/>
  <c r="R288" i="2" s="1"/>
  <c r="Q287" i="2"/>
  <c r="O287" i="2"/>
  <c r="N287" i="2"/>
  <c r="M287" i="2"/>
  <c r="L287" i="2"/>
  <c r="P287" i="2" s="1"/>
  <c r="R287" i="2" s="1"/>
  <c r="Q286" i="2"/>
  <c r="O286" i="2"/>
  <c r="N286" i="2"/>
  <c r="M286" i="2"/>
  <c r="L286" i="2"/>
  <c r="P286" i="2" s="1"/>
  <c r="R286" i="2" s="1"/>
  <c r="Q285" i="2"/>
  <c r="O285" i="2"/>
  <c r="N285" i="2"/>
  <c r="M285" i="2"/>
  <c r="L285" i="2"/>
  <c r="P285" i="2" s="1"/>
  <c r="R285" i="2" s="1"/>
  <c r="Q284" i="2"/>
  <c r="O284" i="2"/>
  <c r="N284" i="2"/>
  <c r="M284" i="2"/>
  <c r="L284" i="2"/>
  <c r="P284" i="2" s="1"/>
  <c r="R284" i="2" s="1"/>
  <c r="Q283" i="2"/>
  <c r="O283" i="2"/>
  <c r="N283" i="2"/>
  <c r="M283" i="2"/>
  <c r="L283" i="2"/>
  <c r="P283" i="2" s="1"/>
  <c r="R283" i="2" s="1"/>
  <c r="Q282" i="2"/>
  <c r="O282" i="2"/>
  <c r="N282" i="2"/>
  <c r="M282" i="2"/>
  <c r="L282" i="2"/>
  <c r="P282" i="2" s="1"/>
  <c r="R282" i="2" s="1"/>
  <c r="Q281" i="2"/>
  <c r="O281" i="2"/>
  <c r="N281" i="2"/>
  <c r="M281" i="2"/>
  <c r="L281" i="2"/>
  <c r="P281" i="2" s="1"/>
  <c r="R281" i="2" s="1"/>
  <c r="Q280" i="2"/>
  <c r="O280" i="2"/>
  <c r="N280" i="2"/>
  <c r="M280" i="2"/>
  <c r="L280" i="2"/>
  <c r="P280" i="2" s="1"/>
  <c r="R280" i="2" s="1"/>
  <c r="Q279" i="2"/>
  <c r="O279" i="2"/>
  <c r="N279" i="2"/>
  <c r="M279" i="2"/>
  <c r="L279" i="2"/>
  <c r="P279" i="2" s="1"/>
  <c r="R279" i="2" s="1"/>
  <c r="Q278" i="2"/>
  <c r="O278" i="2"/>
  <c r="N278" i="2"/>
  <c r="M278" i="2"/>
  <c r="L278" i="2"/>
  <c r="P278" i="2" s="1"/>
  <c r="R278" i="2" s="1"/>
  <c r="Q277" i="2"/>
  <c r="O277" i="2"/>
  <c r="N277" i="2"/>
  <c r="M277" i="2"/>
  <c r="L277" i="2"/>
  <c r="P277" i="2" s="1"/>
  <c r="R277" i="2" s="1"/>
  <c r="Q276" i="2"/>
  <c r="O276" i="2"/>
  <c r="N276" i="2"/>
  <c r="M276" i="2"/>
  <c r="L276" i="2"/>
  <c r="P276" i="2" s="1"/>
  <c r="R276" i="2" s="1"/>
  <c r="Q275" i="2"/>
  <c r="O275" i="2"/>
  <c r="N275" i="2"/>
  <c r="M275" i="2"/>
  <c r="L275" i="2"/>
  <c r="P275" i="2" s="1"/>
  <c r="R275" i="2" s="1"/>
  <c r="Q274" i="2"/>
  <c r="O274" i="2"/>
  <c r="N274" i="2"/>
  <c r="M274" i="2"/>
  <c r="L274" i="2"/>
  <c r="P274" i="2" s="1"/>
  <c r="R274" i="2" s="1"/>
  <c r="Q273" i="2"/>
  <c r="O273" i="2"/>
  <c r="N273" i="2"/>
  <c r="M273" i="2"/>
  <c r="L273" i="2"/>
  <c r="P273" i="2" s="1"/>
  <c r="R273" i="2" s="1"/>
  <c r="Q272" i="2"/>
  <c r="O272" i="2"/>
  <c r="N272" i="2"/>
  <c r="M272" i="2"/>
  <c r="L272" i="2"/>
  <c r="P272" i="2" s="1"/>
  <c r="R272" i="2" s="1"/>
  <c r="Q271" i="2"/>
  <c r="O271" i="2"/>
  <c r="N271" i="2"/>
  <c r="M271" i="2"/>
  <c r="L271" i="2"/>
  <c r="P271" i="2" s="1"/>
  <c r="R271" i="2" s="1"/>
  <c r="Q270" i="2"/>
  <c r="O270" i="2"/>
  <c r="N270" i="2"/>
  <c r="M270" i="2"/>
  <c r="L270" i="2"/>
  <c r="P270" i="2" s="1"/>
  <c r="R270" i="2" s="1"/>
  <c r="Q269" i="2"/>
  <c r="O269" i="2"/>
  <c r="N269" i="2"/>
  <c r="M269" i="2"/>
  <c r="L269" i="2"/>
  <c r="P269" i="2" s="1"/>
  <c r="R269" i="2" s="1"/>
  <c r="Q268" i="2"/>
  <c r="O268" i="2"/>
  <c r="N268" i="2"/>
  <c r="M268" i="2"/>
  <c r="L268" i="2"/>
  <c r="P268" i="2" s="1"/>
  <c r="R268" i="2" s="1"/>
  <c r="Q267" i="2"/>
  <c r="O267" i="2"/>
  <c r="N267" i="2"/>
  <c r="M267" i="2"/>
  <c r="L267" i="2"/>
  <c r="P267" i="2" s="1"/>
  <c r="R267" i="2" s="1"/>
  <c r="Q266" i="2"/>
  <c r="O266" i="2"/>
  <c r="N266" i="2"/>
  <c r="M266" i="2"/>
  <c r="L266" i="2"/>
  <c r="P266" i="2" s="1"/>
  <c r="R266" i="2" s="1"/>
  <c r="Q265" i="2"/>
  <c r="O265" i="2"/>
  <c r="N265" i="2"/>
  <c r="M265" i="2"/>
  <c r="L265" i="2"/>
  <c r="P265" i="2" s="1"/>
  <c r="R265" i="2" s="1"/>
  <c r="Q264" i="2"/>
  <c r="O264" i="2"/>
  <c r="N264" i="2"/>
  <c r="M264" i="2"/>
  <c r="L264" i="2"/>
  <c r="P264" i="2" s="1"/>
  <c r="R264" i="2" s="1"/>
  <c r="Q263" i="2"/>
  <c r="O263" i="2"/>
  <c r="N263" i="2"/>
  <c r="M263" i="2"/>
  <c r="L263" i="2"/>
  <c r="P263" i="2" s="1"/>
  <c r="R263" i="2" s="1"/>
  <c r="Q262" i="2"/>
  <c r="O262" i="2"/>
  <c r="N262" i="2"/>
  <c r="M262" i="2"/>
  <c r="L262" i="2"/>
  <c r="P262" i="2" s="1"/>
  <c r="R262" i="2" s="1"/>
  <c r="Q261" i="2"/>
  <c r="O261" i="2"/>
  <c r="N261" i="2"/>
  <c r="M261" i="2"/>
  <c r="L261" i="2"/>
  <c r="P261" i="2" s="1"/>
  <c r="R261" i="2" s="1"/>
  <c r="Q260" i="2"/>
  <c r="O260" i="2"/>
  <c r="N260" i="2"/>
  <c r="M260" i="2"/>
  <c r="L260" i="2"/>
  <c r="P260" i="2" s="1"/>
  <c r="R260" i="2" s="1"/>
  <c r="Q259" i="2"/>
  <c r="O259" i="2"/>
  <c r="N259" i="2"/>
  <c r="M259" i="2"/>
  <c r="L259" i="2"/>
  <c r="P259" i="2" s="1"/>
  <c r="R259" i="2" s="1"/>
  <c r="Q258" i="2"/>
  <c r="O258" i="2"/>
  <c r="N258" i="2"/>
  <c r="M258" i="2"/>
  <c r="L258" i="2"/>
  <c r="P258" i="2" s="1"/>
  <c r="R258" i="2" s="1"/>
  <c r="Q257" i="2"/>
  <c r="O257" i="2"/>
  <c r="N257" i="2"/>
  <c r="M257" i="2"/>
  <c r="L257" i="2"/>
  <c r="P257" i="2" s="1"/>
  <c r="R257" i="2" s="1"/>
  <c r="Q256" i="2"/>
  <c r="O256" i="2"/>
  <c r="N256" i="2"/>
  <c r="M256" i="2"/>
  <c r="L256" i="2"/>
  <c r="P256" i="2" s="1"/>
  <c r="R256" i="2" s="1"/>
  <c r="Q255" i="2"/>
  <c r="O255" i="2"/>
  <c r="N255" i="2"/>
  <c r="M255" i="2"/>
  <c r="L255" i="2"/>
  <c r="P255" i="2" s="1"/>
  <c r="R255" i="2" s="1"/>
  <c r="Q254" i="2"/>
  <c r="O254" i="2"/>
  <c r="N254" i="2"/>
  <c r="M254" i="2"/>
  <c r="L254" i="2"/>
  <c r="P254" i="2" s="1"/>
  <c r="R254" i="2" s="1"/>
  <c r="Q253" i="2"/>
  <c r="O253" i="2"/>
  <c r="N253" i="2"/>
  <c r="M253" i="2"/>
  <c r="L253" i="2"/>
  <c r="P253" i="2" s="1"/>
  <c r="R253" i="2" s="1"/>
  <c r="Q252" i="2"/>
  <c r="O252" i="2"/>
  <c r="N252" i="2"/>
  <c r="M252" i="2"/>
  <c r="L252" i="2"/>
  <c r="P252" i="2" s="1"/>
  <c r="R252" i="2" s="1"/>
  <c r="Q251" i="2"/>
  <c r="O251" i="2"/>
  <c r="N251" i="2"/>
  <c r="M251" i="2"/>
  <c r="L251" i="2"/>
  <c r="P251" i="2" s="1"/>
  <c r="R251" i="2" s="1"/>
  <c r="Q250" i="2"/>
  <c r="O250" i="2"/>
  <c r="N250" i="2"/>
  <c r="M250" i="2"/>
  <c r="L250" i="2"/>
  <c r="P250" i="2" s="1"/>
  <c r="R250" i="2" s="1"/>
  <c r="Q249" i="2"/>
  <c r="O249" i="2"/>
  <c r="N249" i="2"/>
  <c r="M249" i="2"/>
  <c r="L249" i="2"/>
  <c r="P249" i="2" s="1"/>
  <c r="R249" i="2" s="1"/>
  <c r="Q248" i="2"/>
  <c r="O248" i="2"/>
  <c r="N248" i="2"/>
  <c r="M248" i="2"/>
  <c r="L248" i="2"/>
  <c r="P248" i="2" s="1"/>
  <c r="R248" i="2" s="1"/>
  <c r="Q247" i="2"/>
  <c r="O247" i="2"/>
  <c r="N247" i="2"/>
  <c r="M247" i="2"/>
  <c r="L247" i="2"/>
  <c r="P247" i="2" s="1"/>
  <c r="R247" i="2" s="1"/>
  <c r="Q246" i="2"/>
  <c r="O246" i="2"/>
  <c r="N246" i="2"/>
  <c r="M246" i="2"/>
  <c r="L246" i="2"/>
  <c r="P246" i="2" s="1"/>
  <c r="R246" i="2" s="1"/>
  <c r="Q245" i="2"/>
  <c r="O245" i="2"/>
  <c r="N245" i="2"/>
  <c r="M245" i="2"/>
  <c r="L245" i="2"/>
  <c r="P245" i="2" s="1"/>
  <c r="R245" i="2" s="1"/>
  <c r="Q244" i="2"/>
  <c r="O244" i="2"/>
  <c r="N244" i="2"/>
  <c r="M244" i="2"/>
  <c r="L244" i="2"/>
  <c r="P244" i="2" s="1"/>
  <c r="R244" i="2" s="1"/>
  <c r="Q243" i="2"/>
  <c r="O243" i="2"/>
  <c r="N243" i="2"/>
  <c r="M243" i="2"/>
  <c r="L243" i="2"/>
  <c r="P243" i="2" s="1"/>
  <c r="R243" i="2" s="1"/>
  <c r="Q242" i="2"/>
  <c r="O242" i="2"/>
  <c r="N242" i="2"/>
  <c r="M242" i="2"/>
  <c r="L242" i="2"/>
  <c r="P242" i="2" s="1"/>
  <c r="R242" i="2" s="1"/>
  <c r="Q241" i="2"/>
  <c r="O241" i="2"/>
  <c r="N241" i="2"/>
  <c r="M241" i="2"/>
  <c r="L241" i="2"/>
  <c r="P241" i="2" s="1"/>
  <c r="R241" i="2" s="1"/>
  <c r="Q240" i="2"/>
  <c r="O240" i="2"/>
  <c r="N240" i="2"/>
  <c r="M240" i="2"/>
  <c r="L240" i="2"/>
  <c r="P240" i="2" s="1"/>
  <c r="R240" i="2" s="1"/>
  <c r="Q239" i="2"/>
  <c r="O239" i="2"/>
  <c r="N239" i="2"/>
  <c r="M239" i="2"/>
  <c r="L239" i="2"/>
  <c r="P239" i="2" s="1"/>
  <c r="R239" i="2" s="1"/>
  <c r="Q238" i="2"/>
  <c r="O238" i="2"/>
  <c r="N238" i="2"/>
  <c r="M238" i="2"/>
  <c r="L238" i="2"/>
  <c r="P238" i="2" s="1"/>
  <c r="R238" i="2" s="1"/>
  <c r="Q237" i="2"/>
  <c r="O237" i="2"/>
  <c r="N237" i="2"/>
  <c r="M237" i="2"/>
  <c r="L237" i="2"/>
  <c r="P237" i="2" s="1"/>
  <c r="R237" i="2" s="1"/>
  <c r="Q236" i="2"/>
  <c r="O236" i="2"/>
  <c r="N236" i="2"/>
  <c r="M236" i="2"/>
  <c r="L236" i="2"/>
  <c r="P236" i="2" s="1"/>
  <c r="R236" i="2" s="1"/>
  <c r="Q235" i="2"/>
  <c r="O235" i="2"/>
  <c r="N235" i="2"/>
  <c r="M235" i="2"/>
  <c r="L235" i="2"/>
  <c r="P235" i="2" s="1"/>
  <c r="R235" i="2" s="1"/>
  <c r="Q234" i="2"/>
  <c r="O234" i="2"/>
  <c r="N234" i="2"/>
  <c r="M234" i="2"/>
  <c r="L234" i="2"/>
  <c r="P234" i="2" s="1"/>
  <c r="R234" i="2" s="1"/>
  <c r="Q233" i="2"/>
  <c r="O233" i="2"/>
  <c r="N233" i="2"/>
  <c r="M233" i="2"/>
  <c r="L233" i="2"/>
  <c r="P233" i="2" s="1"/>
  <c r="R233" i="2" s="1"/>
  <c r="Q232" i="2"/>
  <c r="O232" i="2"/>
  <c r="N232" i="2"/>
  <c r="M232" i="2"/>
  <c r="L232" i="2"/>
  <c r="P232" i="2" s="1"/>
  <c r="R232" i="2" s="1"/>
  <c r="Q231" i="2"/>
  <c r="O231" i="2"/>
  <c r="N231" i="2"/>
  <c r="M231" i="2"/>
  <c r="L231" i="2"/>
  <c r="P231" i="2" s="1"/>
  <c r="R231" i="2" s="1"/>
  <c r="Q230" i="2"/>
  <c r="O230" i="2"/>
  <c r="N230" i="2"/>
  <c r="M230" i="2"/>
  <c r="L230" i="2"/>
  <c r="P230" i="2" s="1"/>
  <c r="R230" i="2" s="1"/>
  <c r="Q229" i="2"/>
  <c r="O229" i="2"/>
  <c r="N229" i="2"/>
  <c r="M229" i="2"/>
  <c r="L229" i="2"/>
  <c r="P229" i="2" s="1"/>
  <c r="R229" i="2" s="1"/>
  <c r="Q228" i="2"/>
  <c r="O228" i="2"/>
  <c r="N228" i="2"/>
  <c r="M228" i="2"/>
  <c r="L228" i="2"/>
  <c r="P228" i="2" s="1"/>
  <c r="R228" i="2" s="1"/>
  <c r="Q227" i="2"/>
  <c r="O227" i="2"/>
  <c r="N227" i="2"/>
  <c r="M227" i="2"/>
  <c r="L227" i="2"/>
  <c r="P227" i="2" s="1"/>
  <c r="R227" i="2" s="1"/>
  <c r="Q226" i="2"/>
  <c r="O226" i="2"/>
  <c r="N226" i="2"/>
  <c r="M226" i="2"/>
  <c r="L226" i="2"/>
  <c r="P226" i="2" s="1"/>
  <c r="R226" i="2" s="1"/>
  <c r="Q225" i="2"/>
  <c r="O225" i="2"/>
  <c r="N225" i="2"/>
  <c r="M225" i="2"/>
  <c r="L225" i="2"/>
  <c r="P225" i="2" s="1"/>
  <c r="R225" i="2" s="1"/>
  <c r="Q224" i="2"/>
  <c r="O224" i="2"/>
  <c r="N224" i="2"/>
  <c r="M224" i="2"/>
  <c r="L224" i="2"/>
  <c r="P224" i="2" s="1"/>
  <c r="R224" i="2" s="1"/>
  <c r="Q223" i="2"/>
  <c r="O223" i="2"/>
  <c r="N223" i="2"/>
  <c r="M223" i="2"/>
  <c r="L223" i="2"/>
  <c r="P223" i="2" s="1"/>
  <c r="R223" i="2" s="1"/>
  <c r="Q222" i="2"/>
  <c r="O222" i="2"/>
  <c r="N222" i="2"/>
  <c r="M222" i="2"/>
  <c r="L222" i="2"/>
  <c r="P222" i="2" s="1"/>
  <c r="R222" i="2" s="1"/>
  <c r="Q221" i="2"/>
  <c r="O221" i="2"/>
  <c r="N221" i="2"/>
  <c r="M221" i="2"/>
  <c r="L221" i="2"/>
  <c r="P221" i="2" s="1"/>
  <c r="R221" i="2" s="1"/>
  <c r="Q220" i="2"/>
  <c r="O220" i="2"/>
  <c r="N220" i="2"/>
  <c r="M220" i="2"/>
  <c r="L220" i="2"/>
  <c r="P220" i="2" s="1"/>
  <c r="R220" i="2" s="1"/>
  <c r="Q219" i="2"/>
  <c r="O219" i="2"/>
  <c r="N219" i="2"/>
  <c r="M219" i="2"/>
  <c r="L219" i="2"/>
  <c r="P219" i="2" s="1"/>
  <c r="R219" i="2" s="1"/>
  <c r="Q218" i="2"/>
  <c r="O218" i="2"/>
  <c r="N218" i="2"/>
  <c r="M218" i="2"/>
  <c r="L218" i="2"/>
  <c r="P218" i="2" s="1"/>
  <c r="R218" i="2" s="1"/>
  <c r="Q217" i="2"/>
  <c r="O217" i="2"/>
  <c r="N217" i="2"/>
  <c r="M217" i="2"/>
  <c r="L217" i="2"/>
  <c r="P217" i="2" s="1"/>
  <c r="R217" i="2" s="1"/>
  <c r="Q216" i="2"/>
  <c r="O216" i="2"/>
  <c r="N216" i="2"/>
  <c r="M216" i="2"/>
  <c r="L216" i="2"/>
  <c r="P216" i="2" s="1"/>
  <c r="R216" i="2" s="1"/>
  <c r="Q215" i="2"/>
  <c r="O215" i="2"/>
  <c r="N215" i="2"/>
  <c r="M215" i="2"/>
  <c r="L215" i="2"/>
  <c r="P215" i="2" s="1"/>
  <c r="R215" i="2" s="1"/>
  <c r="Q214" i="2"/>
  <c r="O214" i="2"/>
  <c r="N214" i="2"/>
  <c r="M214" i="2"/>
  <c r="L214" i="2"/>
  <c r="P214" i="2" s="1"/>
  <c r="R214" i="2" s="1"/>
  <c r="Q213" i="2"/>
  <c r="O213" i="2"/>
  <c r="N213" i="2"/>
  <c r="M213" i="2"/>
  <c r="L213" i="2"/>
  <c r="P213" i="2" s="1"/>
  <c r="R213" i="2" s="1"/>
  <c r="Q212" i="2"/>
  <c r="O212" i="2"/>
  <c r="N212" i="2"/>
  <c r="M212" i="2"/>
  <c r="L212" i="2"/>
  <c r="P212" i="2" s="1"/>
  <c r="R212" i="2" s="1"/>
  <c r="Q211" i="2"/>
  <c r="O211" i="2"/>
  <c r="N211" i="2"/>
  <c r="M211" i="2"/>
  <c r="L211" i="2"/>
  <c r="P211" i="2" s="1"/>
  <c r="R211" i="2" s="1"/>
  <c r="Q210" i="2"/>
  <c r="O210" i="2"/>
  <c r="N210" i="2"/>
  <c r="M210" i="2"/>
  <c r="L210" i="2"/>
  <c r="P210" i="2" s="1"/>
  <c r="R210" i="2" s="1"/>
  <c r="Q209" i="2"/>
  <c r="O209" i="2"/>
  <c r="N209" i="2"/>
  <c r="M209" i="2"/>
  <c r="L209" i="2"/>
  <c r="P209" i="2" s="1"/>
  <c r="R209" i="2" s="1"/>
  <c r="Q208" i="2"/>
  <c r="O208" i="2"/>
  <c r="N208" i="2"/>
  <c r="M208" i="2"/>
  <c r="L208" i="2"/>
  <c r="P208" i="2" s="1"/>
  <c r="R208" i="2" s="1"/>
  <c r="Q207" i="2"/>
  <c r="O207" i="2"/>
  <c r="N207" i="2"/>
  <c r="M207" i="2"/>
  <c r="L207" i="2"/>
  <c r="P207" i="2" s="1"/>
  <c r="R207" i="2" s="1"/>
  <c r="Q206" i="2"/>
  <c r="O206" i="2"/>
  <c r="N206" i="2"/>
  <c r="M206" i="2"/>
  <c r="L206" i="2"/>
  <c r="P206" i="2" s="1"/>
  <c r="R206" i="2" s="1"/>
  <c r="Q205" i="2"/>
  <c r="O205" i="2"/>
  <c r="N205" i="2"/>
  <c r="M205" i="2"/>
  <c r="L205" i="2"/>
  <c r="P205" i="2" s="1"/>
  <c r="R205" i="2" s="1"/>
  <c r="Q204" i="2"/>
  <c r="O204" i="2"/>
  <c r="N204" i="2"/>
  <c r="M204" i="2"/>
  <c r="L204" i="2"/>
  <c r="P204" i="2" s="1"/>
  <c r="R204" i="2" s="1"/>
  <c r="Q203" i="2"/>
  <c r="O203" i="2"/>
  <c r="N203" i="2"/>
  <c r="M203" i="2"/>
  <c r="L203" i="2"/>
  <c r="P203" i="2" s="1"/>
  <c r="R203" i="2" s="1"/>
  <c r="Q202" i="2"/>
  <c r="O202" i="2"/>
  <c r="N202" i="2"/>
  <c r="M202" i="2"/>
  <c r="L202" i="2"/>
  <c r="P202" i="2" s="1"/>
  <c r="R202" i="2" s="1"/>
  <c r="Q201" i="2"/>
  <c r="O201" i="2"/>
  <c r="N201" i="2"/>
  <c r="M201" i="2"/>
  <c r="L201" i="2"/>
  <c r="P201" i="2" s="1"/>
  <c r="R201" i="2" s="1"/>
  <c r="Q200" i="2"/>
  <c r="O200" i="2"/>
  <c r="N200" i="2"/>
  <c r="M200" i="2"/>
  <c r="L200" i="2"/>
  <c r="P200" i="2" s="1"/>
  <c r="R200" i="2" s="1"/>
  <c r="Q199" i="2"/>
  <c r="O199" i="2"/>
  <c r="N199" i="2"/>
  <c r="M199" i="2"/>
  <c r="L199" i="2"/>
  <c r="P199" i="2" s="1"/>
  <c r="R199" i="2" s="1"/>
  <c r="Q198" i="2"/>
  <c r="O198" i="2"/>
  <c r="N198" i="2"/>
  <c r="M198" i="2"/>
  <c r="L198" i="2"/>
  <c r="P198" i="2" s="1"/>
  <c r="R198" i="2" s="1"/>
  <c r="Q197" i="2"/>
  <c r="O197" i="2"/>
  <c r="N197" i="2"/>
  <c r="M197" i="2"/>
  <c r="L197" i="2"/>
  <c r="P197" i="2" s="1"/>
  <c r="R197" i="2" s="1"/>
  <c r="Q196" i="2"/>
  <c r="O196" i="2"/>
  <c r="N196" i="2"/>
  <c r="M196" i="2"/>
  <c r="L196" i="2"/>
  <c r="P196" i="2" s="1"/>
  <c r="R196" i="2" s="1"/>
  <c r="Q195" i="2"/>
  <c r="O195" i="2"/>
  <c r="N195" i="2"/>
  <c r="M195" i="2"/>
  <c r="L195" i="2"/>
  <c r="P195" i="2" s="1"/>
  <c r="R195" i="2" s="1"/>
  <c r="Q194" i="2"/>
  <c r="O194" i="2"/>
  <c r="N194" i="2"/>
  <c r="M194" i="2"/>
  <c r="L194" i="2"/>
  <c r="P194" i="2" s="1"/>
  <c r="R194" i="2" s="1"/>
  <c r="Q193" i="2"/>
  <c r="O193" i="2"/>
  <c r="N193" i="2"/>
  <c r="M193" i="2"/>
  <c r="L193" i="2"/>
  <c r="P193" i="2" s="1"/>
  <c r="R193" i="2" s="1"/>
  <c r="Q192" i="2"/>
  <c r="O192" i="2"/>
  <c r="N192" i="2"/>
  <c r="M192" i="2"/>
  <c r="L192" i="2"/>
  <c r="P192" i="2" s="1"/>
  <c r="R192" i="2" s="1"/>
  <c r="Q191" i="2"/>
  <c r="O191" i="2"/>
  <c r="N191" i="2"/>
  <c r="M191" i="2"/>
  <c r="L191" i="2"/>
  <c r="P191" i="2" s="1"/>
  <c r="R191" i="2" s="1"/>
  <c r="Q190" i="2"/>
  <c r="O190" i="2"/>
  <c r="N190" i="2"/>
  <c r="M190" i="2"/>
  <c r="L190" i="2"/>
  <c r="P190" i="2" s="1"/>
  <c r="R190" i="2" s="1"/>
  <c r="Q189" i="2"/>
  <c r="O189" i="2"/>
  <c r="N189" i="2"/>
  <c r="M189" i="2"/>
  <c r="L189" i="2"/>
  <c r="P189" i="2" s="1"/>
  <c r="R189" i="2" s="1"/>
  <c r="Q188" i="2"/>
  <c r="O188" i="2"/>
  <c r="N188" i="2"/>
  <c r="M188" i="2"/>
  <c r="L188" i="2"/>
  <c r="P188" i="2" s="1"/>
  <c r="R188" i="2" s="1"/>
  <c r="Q187" i="2"/>
  <c r="O187" i="2"/>
  <c r="N187" i="2"/>
  <c r="M187" i="2"/>
  <c r="L187" i="2"/>
  <c r="P187" i="2" s="1"/>
  <c r="R187" i="2" s="1"/>
  <c r="Q186" i="2"/>
  <c r="O186" i="2"/>
  <c r="N186" i="2"/>
  <c r="M186" i="2"/>
  <c r="L186" i="2"/>
  <c r="P186" i="2" s="1"/>
  <c r="R186" i="2" s="1"/>
  <c r="Q185" i="2"/>
  <c r="O185" i="2"/>
  <c r="N185" i="2"/>
  <c r="M185" i="2"/>
  <c r="L185" i="2"/>
  <c r="P185" i="2" s="1"/>
  <c r="R185" i="2" s="1"/>
  <c r="Q184" i="2"/>
  <c r="O184" i="2"/>
  <c r="N184" i="2"/>
  <c r="M184" i="2"/>
  <c r="L184" i="2"/>
  <c r="P184" i="2" s="1"/>
  <c r="R184" i="2" s="1"/>
  <c r="Q183" i="2"/>
  <c r="O183" i="2"/>
  <c r="N183" i="2"/>
  <c r="M183" i="2"/>
  <c r="L183" i="2"/>
  <c r="P183" i="2" s="1"/>
  <c r="R183" i="2" s="1"/>
  <c r="Q182" i="2"/>
  <c r="O182" i="2"/>
  <c r="N182" i="2"/>
  <c r="M182" i="2"/>
  <c r="L182" i="2"/>
  <c r="P182" i="2" s="1"/>
  <c r="R182" i="2" s="1"/>
  <c r="Q181" i="2"/>
  <c r="O181" i="2"/>
  <c r="N181" i="2"/>
  <c r="M181" i="2"/>
  <c r="L181" i="2"/>
  <c r="P181" i="2" s="1"/>
  <c r="R181" i="2" s="1"/>
  <c r="Q180" i="2"/>
  <c r="O180" i="2"/>
  <c r="N180" i="2"/>
  <c r="M180" i="2"/>
  <c r="L180" i="2"/>
  <c r="P180" i="2" s="1"/>
  <c r="R180" i="2" s="1"/>
  <c r="Q179" i="2"/>
  <c r="O179" i="2"/>
  <c r="N179" i="2"/>
  <c r="M179" i="2"/>
  <c r="L179" i="2"/>
  <c r="P179" i="2" s="1"/>
  <c r="R179" i="2" s="1"/>
  <c r="Q178" i="2"/>
  <c r="O178" i="2"/>
  <c r="N178" i="2"/>
  <c r="M178" i="2"/>
  <c r="L178" i="2"/>
  <c r="P178" i="2" s="1"/>
  <c r="R178" i="2" s="1"/>
  <c r="Q177" i="2"/>
  <c r="O177" i="2"/>
  <c r="N177" i="2"/>
  <c r="M177" i="2"/>
  <c r="L177" i="2"/>
  <c r="P177" i="2" s="1"/>
  <c r="R177" i="2" s="1"/>
  <c r="Q176" i="2"/>
  <c r="O176" i="2"/>
  <c r="N176" i="2"/>
  <c r="M176" i="2"/>
  <c r="L176" i="2"/>
  <c r="P176" i="2" s="1"/>
  <c r="R176" i="2" s="1"/>
  <c r="Q175" i="2"/>
  <c r="O175" i="2"/>
  <c r="N175" i="2"/>
  <c r="M175" i="2"/>
  <c r="L175" i="2"/>
  <c r="P175" i="2" s="1"/>
  <c r="R175" i="2" s="1"/>
  <c r="Q174" i="2"/>
  <c r="O174" i="2"/>
  <c r="N174" i="2"/>
  <c r="M174" i="2"/>
  <c r="L174" i="2"/>
  <c r="P174" i="2" s="1"/>
  <c r="R174" i="2" s="1"/>
  <c r="Q173" i="2"/>
  <c r="O173" i="2"/>
  <c r="N173" i="2"/>
  <c r="M173" i="2"/>
  <c r="L173" i="2"/>
  <c r="P173" i="2" s="1"/>
  <c r="R173" i="2" s="1"/>
  <c r="Q172" i="2"/>
  <c r="O172" i="2"/>
  <c r="N172" i="2"/>
  <c r="M172" i="2"/>
  <c r="L172" i="2"/>
  <c r="P172" i="2" s="1"/>
  <c r="R172" i="2" s="1"/>
  <c r="Q171" i="2"/>
  <c r="O171" i="2"/>
  <c r="N171" i="2"/>
  <c r="M171" i="2"/>
  <c r="L171" i="2"/>
  <c r="P171" i="2" s="1"/>
  <c r="R171" i="2" s="1"/>
  <c r="Q170" i="2"/>
  <c r="O170" i="2"/>
  <c r="N170" i="2"/>
  <c r="M170" i="2"/>
  <c r="L170" i="2"/>
  <c r="P170" i="2" s="1"/>
  <c r="R170" i="2" s="1"/>
  <c r="Q169" i="2"/>
  <c r="O169" i="2"/>
  <c r="N169" i="2"/>
  <c r="M169" i="2"/>
  <c r="L169" i="2"/>
  <c r="P169" i="2" s="1"/>
  <c r="R169" i="2" s="1"/>
  <c r="Q168" i="2"/>
  <c r="O168" i="2"/>
  <c r="N168" i="2"/>
  <c r="M168" i="2"/>
  <c r="L168" i="2"/>
  <c r="P168" i="2" s="1"/>
  <c r="R168" i="2" s="1"/>
  <c r="Q167" i="2"/>
  <c r="O167" i="2"/>
  <c r="N167" i="2"/>
  <c r="M167" i="2"/>
  <c r="L167" i="2"/>
  <c r="P167" i="2" s="1"/>
  <c r="R167" i="2" s="1"/>
  <c r="Q166" i="2"/>
  <c r="O166" i="2"/>
  <c r="N166" i="2"/>
  <c r="M166" i="2"/>
  <c r="L166" i="2"/>
  <c r="P166" i="2" s="1"/>
  <c r="R166" i="2" s="1"/>
  <c r="Q165" i="2"/>
  <c r="O165" i="2"/>
  <c r="N165" i="2"/>
  <c r="M165" i="2"/>
  <c r="L165" i="2"/>
  <c r="P165" i="2" s="1"/>
  <c r="R165" i="2" s="1"/>
  <c r="Q164" i="2"/>
  <c r="O164" i="2"/>
  <c r="N164" i="2"/>
  <c r="M164" i="2"/>
  <c r="L164" i="2"/>
  <c r="P164" i="2" s="1"/>
  <c r="R164" i="2" s="1"/>
  <c r="Q163" i="2"/>
  <c r="O163" i="2"/>
  <c r="N163" i="2"/>
  <c r="M163" i="2"/>
  <c r="L163" i="2"/>
  <c r="P163" i="2" s="1"/>
  <c r="R163" i="2" s="1"/>
  <c r="Q162" i="2"/>
  <c r="O162" i="2"/>
  <c r="N162" i="2"/>
  <c r="M162" i="2"/>
  <c r="L162" i="2"/>
  <c r="P162" i="2" s="1"/>
  <c r="R162" i="2" s="1"/>
  <c r="Q161" i="2"/>
  <c r="O161" i="2"/>
  <c r="N161" i="2"/>
  <c r="M161" i="2"/>
  <c r="L161" i="2"/>
  <c r="P161" i="2" s="1"/>
  <c r="R161" i="2" s="1"/>
  <c r="Q160" i="2"/>
  <c r="O160" i="2"/>
  <c r="N160" i="2"/>
  <c r="M160" i="2"/>
  <c r="L160" i="2"/>
  <c r="P160" i="2" s="1"/>
  <c r="R160" i="2" s="1"/>
  <c r="Q159" i="2"/>
  <c r="O159" i="2"/>
  <c r="N159" i="2"/>
  <c r="M159" i="2"/>
  <c r="L159" i="2"/>
  <c r="P159" i="2" s="1"/>
  <c r="R159" i="2" s="1"/>
  <c r="Q158" i="2"/>
  <c r="O158" i="2"/>
  <c r="N158" i="2"/>
  <c r="M158" i="2"/>
  <c r="L158" i="2"/>
  <c r="P158" i="2" s="1"/>
  <c r="R158" i="2" s="1"/>
  <c r="Q157" i="2"/>
  <c r="O157" i="2"/>
  <c r="N157" i="2"/>
  <c r="M157" i="2"/>
  <c r="L157" i="2"/>
  <c r="P157" i="2" s="1"/>
  <c r="R157" i="2" s="1"/>
  <c r="Q156" i="2"/>
  <c r="O156" i="2"/>
  <c r="N156" i="2"/>
  <c r="M156" i="2"/>
  <c r="L156" i="2"/>
  <c r="P156" i="2" s="1"/>
  <c r="R156" i="2" s="1"/>
  <c r="Q155" i="2"/>
  <c r="O155" i="2"/>
  <c r="N155" i="2"/>
  <c r="M155" i="2"/>
  <c r="L155" i="2"/>
  <c r="P155" i="2" s="1"/>
  <c r="R155" i="2" s="1"/>
  <c r="Q154" i="2"/>
  <c r="O154" i="2"/>
  <c r="N154" i="2"/>
  <c r="M154" i="2"/>
  <c r="L154" i="2"/>
  <c r="P154" i="2" s="1"/>
  <c r="R154" i="2" s="1"/>
  <c r="Q153" i="2"/>
  <c r="O153" i="2"/>
  <c r="N153" i="2"/>
  <c r="M153" i="2"/>
  <c r="L153" i="2"/>
  <c r="P153" i="2" s="1"/>
  <c r="R153" i="2" s="1"/>
  <c r="Q152" i="2"/>
  <c r="O152" i="2"/>
  <c r="N152" i="2"/>
  <c r="M152" i="2"/>
  <c r="L152" i="2"/>
  <c r="P152" i="2" s="1"/>
  <c r="R152" i="2" s="1"/>
  <c r="Q151" i="2"/>
  <c r="O151" i="2"/>
  <c r="N151" i="2"/>
  <c r="M151" i="2"/>
  <c r="L151" i="2"/>
  <c r="P151" i="2" s="1"/>
  <c r="R151" i="2" s="1"/>
  <c r="Q150" i="2"/>
  <c r="O150" i="2"/>
  <c r="N150" i="2"/>
  <c r="M150" i="2"/>
  <c r="L150" i="2"/>
  <c r="P150" i="2" s="1"/>
  <c r="R150" i="2" s="1"/>
  <c r="Q149" i="2"/>
  <c r="O149" i="2"/>
  <c r="N149" i="2"/>
  <c r="M149" i="2"/>
  <c r="L149" i="2"/>
  <c r="P149" i="2" s="1"/>
  <c r="R149" i="2" s="1"/>
  <c r="Q148" i="2"/>
  <c r="O148" i="2"/>
  <c r="N148" i="2"/>
  <c r="M148" i="2"/>
  <c r="L148" i="2"/>
  <c r="P148" i="2" s="1"/>
  <c r="R148" i="2" s="1"/>
  <c r="Q147" i="2"/>
  <c r="O147" i="2"/>
  <c r="N147" i="2"/>
  <c r="M147" i="2"/>
  <c r="L147" i="2"/>
  <c r="P147" i="2" s="1"/>
  <c r="R147" i="2" s="1"/>
  <c r="Q146" i="2"/>
  <c r="O146" i="2"/>
  <c r="N146" i="2"/>
  <c r="M146" i="2"/>
  <c r="L146" i="2"/>
  <c r="P146" i="2" s="1"/>
  <c r="R146" i="2" s="1"/>
  <c r="Q145" i="2"/>
  <c r="O145" i="2"/>
  <c r="N145" i="2"/>
  <c r="M145" i="2"/>
  <c r="L145" i="2"/>
  <c r="P145" i="2" s="1"/>
  <c r="R145" i="2" s="1"/>
  <c r="Q144" i="2"/>
  <c r="O144" i="2"/>
  <c r="N144" i="2"/>
  <c r="M144" i="2"/>
  <c r="L144" i="2"/>
  <c r="P144" i="2" s="1"/>
  <c r="R144" i="2" s="1"/>
  <c r="Q143" i="2"/>
  <c r="O143" i="2"/>
  <c r="N143" i="2"/>
  <c r="M143" i="2"/>
  <c r="L143" i="2"/>
  <c r="P143" i="2" s="1"/>
  <c r="R143" i="2" s="1"/>
  <c r="Q142" i="2"/>
  <c r="O142" i="2"/>
  <c r="N142" i="2"/>
  <c r="M142" i="2"/>
  <c r="L142" i="2"/>
  <c r="P142" i="2" s="1"/>
  <c r="R142" i="2" s="1"/>
  <c r="Q141" i="2"/>
  <c r="O141" i="2"/>
  <c r="N141" i="2"/>
  <c r="M141" i="2"/>
  <c r="L141" i="2"/>
  <c r="P141" i="2" s="1"/>
  <c r="R141" i="2" s="1"/>
  <c r="Q140" i="2"/>
  <c r="O140" i="2"/>
  <c r="N140" i="2"/>
  <c r="M140" i="2"/>
  <c r="L140" i="2"/>
  <c r="P140" i="2" s="1"/>
  <c r="R140" i="2" s="1"/>
  <c r="Q139" i="2"/>
  <c r="O139" i="2"/>
  <c r="N139" i="2"/>
  <c r="M139" i="2"/>
  <c r="L139" i="2"/>
  <c r="P139" i="2" s="1"/>
  <c r="R139" i="2" s="1"/>
  <c r="Q138" i="2"/>
  <c r="O138" i="2"/>
  <c r="N138" i="2"/>
  <c r="M138" i="2"/>
  <c r="L138" i="2"/>
  <c r="P138" i="2" s="1"/>
  <c r="R138" i="2" s="1"/>
  <c r="Q137" i="2"/>
  <c r="O137" i="2"/>
  <c r="N137" i="2"/>
  <c r="M137" i="2"/>
  <c r="L137" i="2"/>
  <c r="P137" i="2" s="1"/>
  <c r="R137" i="2" s="1"/>
  <c r="Q136" i="2"/>
  <c r="O136" i="2"/>
  <c r="N136" i="2"/>
  <c r="M136" i="2"/>
  <c r="L136" i="2"/>
  <c r="P136" i="2" s="1"/>
  <c r="R136" i="2" s="1"/>
  <c r="Q135" i="2"/>
  <c r="O135" i="2"/>
  <c r="N135" i="2"/>
  <c r="M135" i="2"/>
  <c r="L135" i="2"/>
  <c r="P135" i="2" s="1"/>
  <c r="R135" i="2" s="1"/>
  <c r="Q134" i="2"/>
  <c r="O134" i="2"/>
  <c r="N134" i="2"/>
  <c r="M134" i="2"/>
  <c r="L134" i="2"/>
  <c r="P134" i="2" s="1"/>
  <c r="R134" i="2" s="1"/>
  <c r="Q133" i="2"/>
  <c r="O133" i="2"/>
  <c r="N133" i="2"/>
  <c r="M133" i="2"/>
  <c r="L133" i="2"/>
  <c r="P133" i="2" s="1"/>
  <c r="R133" i="2" s="1"/>
  <c r="Q132" i="2"/>
  <c r="O132" i="2"/>
  <c r="N132" i="2"/>
  <c r="M132" i="2"/>
  <c r="L132" i="2"/>
  <c r="P132" i="2" s="1"/>
  <c r="R132" i="2" s="1"/>
  <c r="Q131" i="2"/>
  <c r="O131" i="2"/>
  <c r="N131" i="2"/>
  <c r="M131" i="2"/>
  <c r="L131" i="2"/>
  <c r="P131" i="2" s="1"/>
  <c r="R131" i="2" s="1"/>
  <c r="Q130" i="2"/>
  <c r="O130" i="2"/>
  <c r="N130" i="2"/>
  <c r="M130" i="2"/>
  <c r="L130" i="2"/>
  <c r="P130" i="2" s="1"/>
  <c r="R130" i="2" s="1"/>
  <c r="Q129" i="2"/>
  <c r="O129" i="2"/>
  <c r="N129" i="2"/>
  <c r="M129" i="2"/>
  <c r="L129" i="2"/>
  <c r="P129" i="2" s="1"/>
  <c r="R129" i="2" s="1"/>
  <c r="Q128" i="2"/>
  <c r="O128" i="2"/>
  <c r="N128" i="2"/>
  <c r="M128" i="2"/>
  <c r="L128" i="2"/>
  <c r="P128" i="2" s="1"/>
  <c r="R128" i="2" s="1"/>
  <c r="Q127" i="2"/>
  <c r="O127" i="2"/>
  <c r="N127" i="2"/>
  <c r="M127" i="2"/>
  <c r="L127" i="2"/>
  <c r="P127" i="2" s="1"/>
  <c r="R127" i="2" s="1"/>
  <c r="Q126" i="2"/>
  <c r="O126" i="2"/>
  <c r="N126" i="2"/>
  <c r="M126" i="2"/>
  <c r="L126" i="2"/>
  <c r="P126" i="2" s="1"/>
  <c r="R126" i="2" s="1"/>
  <c r="Q125" i="2"/>
  <c r="O125" i="2"/>
  <c r="N125" i="2"/>
  <c r="M125" i="2"/>
  <c r="L125" i="2"/>
  <c r="P125" i="2" s="1"/>
  <c r="R125" i="2" s="1"/>
  <c r="Q124" i="2"/>
  <c r="O124" i="2"/>
  <c r="N124" i="2"/>
  <c r="M124" i="2"/>
  <c r="L124" i="2"/>
  <c r="P124" i="2" s="1"/>
  <c r="R124" i="2" s="1"/>
  <c r="Q123" i="2"/>
  <c r="O123" i="2"/>
  <c r="N123" i="2"/>
  <c r="M123" i="2"/>
  <c r="L123" i="2"/>
  <c r="P123" i="2" s="1"/>
  <c r="R123" i="2" s="1"/>
  <c r="Q122" i="2"/>
  <c r="O122" i="2"/>
  <c r="N122" i="2"/>
  <c r="M122" i="2"/>
  <c r="L122" i="2"/>
  <c r="P122" i="2" s="1"/>
  <c r="R122" i="2" s="1"/>
  <c r="Q121" i="2"/>
  <c r="O121" i="2"/>
  <c r="N121" i="2"/>
  <c r="M121" i="2"/>
  <c r="L121" i="2"/>
  <c r="P121" i="2" s="1"/>
  <c r="R121" i="2" s="1"/>
  <c r="Q120" i="2"/>
  <c r="O120" i="2"/>
  <c r="N120" i="2"/>
  <c r="M120" i="2"/>
  <c r="L120" i="2"/>
  <c r="P120" i="2" s="1"/>
  <c r="R120" i="2" s="1"/>
  <c r="Q119" i="2"/>
  <c r="O119" i="2"/>
  <c r="N119" i="2"/>
  <c r="M119" i="2"/>
  <c r="L119" i="2"/>
  <c r="P119" i="2" s="1"/>
  <c r="R119" i="2" s="1"/>
  <c r="Q118" i="2"/>
  <c r="O118" i="2"/>
  <c r="N118" i="2"/>
  <c r="M118" i="2"/>
  <c r="L118" i="2"/>
  <c r="P118" i="2" s="1"/>
  <c r="R118" i="2" s="1"/>
  <c r="Q117" i="2"/>
  <c r="O117" i="2"/>
  <c r="N117" i="2"/>
  <c r="M117" i="2"/>
  <c r="L117" i="2"/>
  <c r="P117" i="2" s="1"/>
  <c r="R117" i="2" s="1"/>
  <c r="Q116" i="2"/>
  <c r="O116" i="2"/>
  <c r="N116" i="2"/>
  <c r="M116" i="2"/>
  <c r="L116" i="2"/>
  <c r="P116" i="2" s="1"/>
  <c r="R116" i="2" s="1"/>
  <c r="Q115" i="2"/>
  <c r="O115" i="2"/>
  <c r="N115" i="2"/>
  <c r="M115" i="2"/>
  <c r="L115" i="2"/>
  <c r="P115" i="2" s="1"/>
  <c r="R115" i="2" s="1"/>
  <c r="Q114" i="2"/>
  <c r="O114" i="2"/>
  <c r="N114" i="2"/>
  <c r="M114" i="2"/>
  <c r="L114" i="2"/>
  <c r="P114" i="2" s="1"/>
  <c r="R114" i="2" s="1"/>
  <c r="Q113" i="2"/>
  <c r="O113" i="2"/>
  <c r="N113" i="2"/>
  <c r="M113" i="2"/>
  <c r="L113" i="2"/>
  <c r="P113" i="2" s="1"/>
  <c r="R113" i="2" s="1"/>
  <c r="Q112" i="2"/>
  <c r="O112" i="2"/>
  <c r="N112" i="2"/>
  <c r="M112" i="2"/>
  <c r="L112" i="2"/>
  <c r="P112" i="2" s="1"/>
  <c r="R112" i="2" s="1"/>
  <c r="Q111" i="2"/>
  <c r="O111" i="2"/>
  <c r="N111" i="2"/>
  <c r="M111" i="2"/>
  <c r="L111" i="2"/>
  <c r="P111" i="2" s="1"/>
  <c r="R111" i="2" s="1"/>
  <c r="Q110" i="2"/>
  <c r="O110" i="2"/>
  <c r="N110" i="2"/>
  <c r="M110" i="2"/>
  <c r="L110" i="2"/>
  <c r="P110" i="2" s="1"/>
  <c r="R110" i="2" s="1"/>
  <c r="Q109" i="2"/>
  <c r="O109" i="2"/>
  <c r="N109" i="2"/>
  <c r="M109" i="2"/>
  <c r="L109" i="2"/>
  <c r="P109" i="2" s="1"/>
  <c r="R109" i="2" s="1"/>
  <c r="Q108" i="2"/>
  <c r="O108" i="2"/>
  <c r="N108" i="2"/>
  <c r="M108" i="2"/>
  <c r="L108" i="2"/>
  <c r="P108" i="2" s="1"/>
  <c r="R108" i="2" s="1"/>
  <c r="Q107" i="2"/>
  <c r="O107" i="2"/>
  <c r="N107" i="2"/>
  <c r="M107" i="2"/>
  <c r="L107" i="2"/>
  <c r="P107" i="2" s="1"/>
  <c r="R107" i="2" s="1"/>
  <c r="Q106" i="2"/>
  <c r="O106" i="2"/>
  <c r="N106" i="2"/>
  <c r="M106" i="2"/>
  <c r="L106" i="2"/>
  <c r="P106" i="2" s="1"/>
  <c r="R106" i="2" s="1"/>
  <c r="Q105" i="2"/>
  <c r="O105" i="2"/>
  <c r="N105" i="2"/>
  <c r="M105" i="2"/>
  <c r="L105" i="2"/>
  <c r="P105" i="2" s="1"/>
  <c r="R105" i="2" s="1"/>
  <c r="Q104" i="2"/>
  <c r="O104" i="2"/>
  <c r="N104" i="2"/>
  <c r="M104" i="2"/>
  <c r="L104" i="2"/>
  <c r="P104" i="2" s="1"/>
  <c r="R104" i="2" s="1"/>
  <c r="Q103" i="2"/>
  <c r="O103" i="2"/>
  <c r="N103" i="2"/>
  <c r="M103" i="2"/>
  <c r="L103" i="2"/>
  <c r="P103" i="2" s="1"/>
  <c r="Q102" i="2"/>
  <c r="O102" i="2"/>
  <c r="N102" i="2"/>
  <c r="M102" i="2"/>
  <c r="L102" i="2"/>
  <c r="P102" i="2" s="1"/>
  <c r="R102" i="2" s="1"/>
  <c r="Q101" i="2"/>
  <c r="O101" i="2"/>
  <c r="N101" i="2"/>
  <c r="M101" i="2"/>
  <c r="L101" i="2"/>
  <c r="P101" i="2" s="1"/>
  <c r="R101" i="2" s="1"/>
  <c r="Q100" i="2"/>
  <c r="O100" i="2"/>
  <c r="N100" i="2"/>
  <c r="M100" i="2"/>
  <c r="L100" i="2"/>
  <c r="P100" i="2" s="1"/>
  <c r="R100" i="2" s="1"/>
  <c r="Q99" i="2"/>
  <c r="O99" i="2"/>
  <c r="N99" i="2"/>
  <c r="M99" i="2"/>
  <c r="L99" i="2"/>
  <c r="P99" i="2" s="1"/>
  <c r="R99" i="2" s="1"/>
  <c r="Q98" i="2"/>
  <c r="O98" i="2"/>
  <c r="N98" i="2"/>
  <c r="M98" i="2"/>
  <c r="L98" i="2"/>
  <c r="P98" i="2" s="1"/>
  <c r="R98" i="2" s="1"/>
  <c r="Q97" i="2"/>
  <c r="O97" i="2"/>
  <c r="N97" i="2"/>
  <c r="M97" i="2"/>
  <c r="L97" i="2"/>
  <c r="P97" i="2" s="1"/>
  <c r="R97" i="2" s="1"/>
  <c r="Q96" i="2"/>
  <c r="O96" i="2"/>
  <c r="N96" i="2"/>
  <c r="M96" i="2"/>
  <c r="L96" i="2"/>
  <c r="P96" i="2" s="1"/>
  <c r="R96" i="2" s="1"/>
  <c r="Q95" i="2"/>
  <c r="O95" i="2"/>
  <c r="N95" i="2"/>
  <c r="M95" i="2"/>
  <c r="L95" i="2"/>
  <c r="P95" i="2" s="1"/>
  <c r="R95" i="2" s="1"/>
  <c r="Q94" i="2"/>
  <c r="O94" i="2"/>
  <c r="N94" i="2"/>
  <c r="M94" i="2"/>
  <c r="L94" i="2"/>
  <c r="P94" i="2" s="1"/>
  <c r="R94" i="2" s="1"/>
  <c r="Q93" i="2"/>
  <c r="O93" i="2"/>
  <c r="N93" i="2"/>
  <c r="M93" i="2"/>
  <c r="L93" i="2"/>
  <c r="P93" i="2" s="1"/>
  <c r="R93" i="2" s="1"/>
  <c r="Q92" i="2"/>
  <c r="O92" i="2"/>
  <c r="N92" i="2"/>
  <c r="M92" i="2"/>
  <c r="L92" i="2"/>
  <c r="P92" i="2" s="1"/>
  <c r="R92" i="2" s="1"/>
  <c r="Q91" i="2"/>
  <c r="O91" i="2"/>
  <c r="N91" i="2"/>
  <c r="M91" i="2"/>
  <c r="L91" i="2"/>
  <c r="P91" i="2" s="1"/>
  <c r="R91" i="2" s="1"/>
  <c r="Q90" i="2"/>
  <c r="O90" i="2"/>
  <c r="N90" i="2"/>
  <c r="M90" i="2"/>
  <c r="L90" i="2"/>
  <c r="P90" i="2" s="1"/>
  <c r="R90" i="2" s="1"/>
  <c r="Q89" i="2"/>
  <c r="O89" i="2"/>
  <c r="N89" i="2"/>
  <c r="M89" i="2"/>
  <c r="L89" i="2"/>
  <c r="P89" i="2" s="1"/>
  <c r="R89" i="2" s="1"/>
  <c r="Q88" i="2"/>
  <c r="O88" i="2"/>
  <c r="N88" i="2"/>
  <c r="M88" i="2"/>
  <c r="L88" i="2"/>
  <c r="P88" i="2" s="1"/>
  <c r="R88" i="2" s="1"/>
  <c r="Q87" i="2"/>
  <c r="O87" i="2"/>
  <c r="N87" i="2"/>
  <c r="M87" i="2"/>
  <c r="L87" i="2"/>
  <c r="P87" i="2" s="1"/>
  <c r="R87" i="2" s="1"/>
  <c r="Q86" i="2"/>
  <c r="O86" i="2"/>
  <c r="N86" i="2"/>
  <c r="M86" i="2"/>
  <c r="L86" i="2"/>
  <c r="P86" i="2" s="1"/>
  <c r="R86" i="2" s="1"/>
  <c r="Q85" i="2"/>
  <c r="O85" i="2"/>
  <c r="N85" i="2"/>
  <c r="M85" i="2"/>
  <c r="L85" i="2"/>
  <c r="P85" i="2" s="1"/>
  <c r="R85" i="2" s="1"/>
  <c r="Q84" i="2"/>
  <c r="O84" i="2"/>
  <c r="N84" i="2"/>
  <c r="M84" i="2"/>
  <c r="L84" i="2"/>
  <c r="P84" i="2" s="1"/>
  <c r="R84" i="2" s="1"/>
  <c r="Q83" i="2"/>
  <c r="O83" i="2"/>
  <c r="N83" i="2"/>
  <c r="M83" i="2"/>
  <c r="L83" i="2"/>
  <c r="P83" i="2" s="1"/>
  <c r="R83" i="2" s="1"/>
  <c r="Q82" i="2"/>
  <c r="O82" i="2"/>
  <c r="N82" i="2"/>
  <c r="M82" i="2"/>
  <c r="L82" i="2"/>
  <c r="P82" i="2" s="1"/>
  <c r="R82" i="2" s="1"/>
  <c r="Q81" i="2"/>
  <c r="O81" i="2"/>
  <c r="N81" i="2"/>
  <c r="M81" i="2"/>
  <c r="L81" i="2"/>
  <c r="P81" i="2" s="1"/>
  <c r="R81" i="2" s="1"/>
  <c r="Q80" i="2"/>
  <c r="O80" i="2"/>
  <c r="N80" i="2"/>
  <c r="M80" i="2"/>
  <c r="L80" i="2"/>
  <c r="P80" i="2" s="1"/>
  <c r="R80" i="2" s="1"/>
  <c r="Q79" i="2"/>
  <c r="O79" i="2"/>
  <c r="N79" i="2"/>
  <c r="M79" i="2"/>
  <c r="L79" i="2"/>
  <c r="P79" i="2" s="1"/>
  <c r="R79" i="2" s="1"/>
  <c r="Q78" i="2"/>
  <c r="O78" i="2"/>
  <c r="N78" i="2"/>
  <c r="M78" i="2"/>
  <c r="L78" i="2"/>
  <c r="P78" i="2" s="1"/>
  <c r="R78" i="2" s="1"/>
  <c r="Q77" i="2"/>
  <c r="O77" i="2"/>
  <c r="N77" i="2"/>
  <c r="M77" i="2"/>
  <c r="L77" i="2"/>
  <c r="P77" i="2" s="1"/>
  <c r="R77" i="2" s="1"/>
  <c r="Q76" i="2"/>
  <c r="O76" i="2"/>
  <c r="N76" i="2"/>
  <c r="M76" i="2"/>
  <c r="L76" i="2"/>
  <c r="P76" i="2" s="1"/>
  <c r="R76" i="2" s="1"/>
  <c r="Q75" i="2"/>
  <c r="O75" i="2"/>
  <c r="N75" i="2"/>
  <c r="M75" i="2"/>
  <c r="L75" i="2"/>
  <c r="P75" i="2" s="1"/>
  <c r="R75" i="2" s="1"/>
  <c r="Q74" i="2"/>
  <c r="O74" i="2"/>
  <c r="N74" i="2"/>
  <c r="M74" i="2"/>
  <c r="L74" i="2"/>
  <c r="P74" i="2" s="1"/>
  <c r="R74" i="2" s="1"/>
  <c r="Q73" i="2"/>
  <c r="O73" i="2"/>
  <c r="N73" i="2"/>
  <c r="M73" i="2"/>
  <c r="L73" i="2"/>
  <c r="P73" i="2" s="1"/>
  <c r="R73" i="2" s="1"/>
  <c r="Q72" i="2"/>
  <c r="O72" i="2"/>
  <c r="N72" i="2"/>
  <c r="M72" i="2"/>
  <c r="L72" i="2"/>
  <c r="P72" i="2" s="1"/>
  <c r="R72" i="2" s="1"/>
  <c r="Q71" i="2"/>
  <c r="O71" i="2"/>
  <c r="N71" i="2"/>
  <c r="M71" i="2"/>
  <c r="L71" i="2"/>
  <c r="P71" i="2" s="1"/>
  <c r="R71" i="2" s="1"/>
  <c r="Q70" i="2"/>
  <c r="O70" i="2"/>
  <c r="N70" i="2"/>
  <c r="M70" i="2"/>
  <c r="L70" i="2"/>
  <c r="P70" i="2" s="1"/>
  <c r="R70" i="2" s="1"/>
  <c r="Q69" i="2"/>
  <c r="O69" i="2"/>
  <c r="N69" i="2"/>
  <c r="M69" i="2"/>
  <c r="L69" i="2"/>
  <c r="P69" i="2" s="1"/>
  <c r="R69" i="2" s="1"/>
  <c r="Q68" i="2"/>
  <c r="O68" i="2"/>
  <c r="N68" i="2"/>
  <c r="M68" i="2"/>
  <c r="L68" i="2"/>
  <c r="P68" i="2" s="1"/>
  <c r="Q67" i="2"/>
  <c r="O67" i="2"/>
  <c r="N67" i="2"/>
  <c r="M67" i="2"/>
  <c r="L67" i="2"/>
  <c r="P67" i="2" s="1"/>
  <c r="R67" i="2" s="1"/>
  <c r="Q66" i="2"/>
  <c r="O66" i="2"/>
  <c r="N66" i="2"/>
  <c r="M66" i="2"/>
  <c r="L66" i="2"/>
  <c r="P66" i="2" s="1"/>
  <c r="R66" i="2" s="1"/>
  <c r="Q65" i="2"/>
  <c r="O65" i="2"/>
  <c r="N65" i="2"/>
  <c r="M65" i="2"/>
  <c r="L65" i="2"/>
  <c r="P65" i="2" s="1"/>
  <c r="R65" i="2" s="1"/>
  <c r="Q64" i="2"/>
  <c r="O64" i="2"/>
  <c r="N64" i="2"/>
  <c r="M64" i="2"/>
  <c r="L64" i="2"/>
  <c r="P64" i="2" s="1"/>
  <c r="R64" i="2" s="1"/>
  <c r="Q63" i="2"/>
  <c r="O63" i="2"/>
  <c r="N63" i="2"/>
  <c r="M63" i="2"/>
  <c r="L63" i="2"/>
  <c r="P63" i="2" s="1"/>
  <c r="R63" i="2" s="1"/>
  <c r="Q62" i="2"/>
  <c r="O62" i="2"/>
  <c r="N62" i="2"/>
  <c r="M62" i="2"/>
  <c r="L62" i="2"/>
  <c r="P62" i="2" s="1"/>
  <c r="R62" i="2" s="1"/>
  <c r="Q61" i="2"/>
  <c r="O61" i="2"/>
  <c r="N61" i="2"/>
  <c r="M61" i="2"/>
  <c r="L61" i="2"/>
  <c r="P61" i="2" s="1"/>
  <c r="R61" i="2" s="1"/>
  <c r="Q60" i="2"/>
  <c r="O60" i="2"/>
  <c r="N60" i="2"/>
  <c r="M60" i="2"/>
  <c r="L60" i="2"/>
  <c r="P60" i="2" s="1"/>
  <c r="R60" i="2" s="1"/>
  <c r="Q59" i="2"/>
  <c r="O59" i="2"/>
  <c r="N59" i="2"/>
  <c r="M59" i="2"/>
  <c r="L59" i="2"/>
  <c r="P59" i="2" s="1"/>
  <c r="R59" i="2" s="1"/>
  <c r="Q58" i="2"/>
  <c r="O58" i="2"/>
  <c r="N58" i="2"/>
  <c r="M58" i="2"/>
  <c r="L58" i="2"/>
  <c r="P58" i="2" s="1"/>
  <c r="R58" i="2" s="1"/>
  <c r="Q57" i="2"/>
  <c r="O57" i="2"/>
  <c r="N57" i="2"/>
  <c r="M57" i="2"/>
  <c r="L57" i="2"/>
  <c r="P57" i="2" s="1"/>
  <c r="R57" i="2" s="1"/>
  <c r="Q56" i="2"/>
  <c r="O56" i="2"/>
  <c r="N56" i="2"/>
  <c r="M56" i="2"/>
  <c r="L56" i="2"/>
  <c r="P56" i="2" s="1"/>
  <c r="R56" i="2" s="1"/>
  <c r="Q55" i="2"/>
  <c r="O55" i="2"/>
  <c r="N55" i="2"/>
  <c r="M55" i="2"/>
  <c r="L55" i="2"/>
  <c r="P55" i="2" s="1"/>
  <c r="R55" i="2" s="1"/>
  <c r="Q54" i="2"/>
  <c r="O54" i="2"/>
  <c r="N54" i="2"/>
  <c r="M54" i="2"/>
  <c r="L54" i="2"/>
  <c r="P54" i="2" s="1"/>
  <c r="R54" i="2" s="1"/>
  <c r="Q53" i="2"/>
  <c r="O53" i="2"/>
  <c r="N53" i="2"/>
  <c r="M53" i="2"/>
  <c r="L53" i="2"/>
  <c r="P53" i="2" s="1"/>
  <c r="R53" i="2" s="1"/>
  <c r="Q52" i="2"/>
  <c r="O52" i="2"/>
  <c r="N52" i="2"/>
  <c r="M52" i="2"/>
  <c r="L52" i="2"/>
  <c r="P52" i="2" s="1"/>
  <c r="R52" i="2" s="1"/>
  <c r="Q51" i="2"/>
  <c r="O51" i="2"/>
  <c r="N51" i="2"/>
  <c r="M51" i="2"/>
  <c r="L51" i="2"/>
  <c r="P51" i="2" s="1"/>
  <c r="Q50" i="2"/>
  <c r="O50" i="2"/>
  <c r="N50" i="2"/>
  <c r="M50" i="2"/>
  <c r="L50" i="2"/>
  <c r="P50" i="2" s="1"/>
  <c r="R50" i="2" s="1"/>
  <c r="Q49" i="2"/>
  <c r="O49" i="2"/>
  <c r="N49" i="2"/>
  <c r="M49" i="2"/>
  <c r="L49" i="2"/>
  <c r="P49" i="2" s="1"/>
  <c r="R49" i="2" s="1"/>
  <c r="Q48" i="2"/>
  <c r="O48" i="2"/>
  <c r="N48" i="2"/>
  <c r="M48" i="2"/>
  <c r="L48" i="2"/>
  <c r="P48" i="2" s="1"/>
  <c r="R48" i="2" s="1"/>
  <c r="Q47" i="2"/>
  <c r="O47" i="2"/>
  <c r="N47" i="2"/>
  <c r="M47" i="2"/>
  <c r="L47" i="2"/>
  <c r="P47" i="2" s="1"/>
  <c r="R47" i="2" s="1"/>
  <c r="Q46" i="2"/>
  <c r="O46" i="2"/>
  <c r="N46" i="2"/>
  <c r="M46" i="2"/>
  <c r="L46" i="2"/>
  <c r="P46" i="2" s="1"/>
  <c r="Q45" i="2"/>
  <c r="O45" i="2"/>
  <c r="N45" i="2"/>
  <c r="M45" i="2"/>
  <c r="L45" i="2"/>
  <c r="P45" i="2" s="1"/>
  <c r="R45" i="2" s="1"/>
  <c r="Q44" i="2"/>
  <c r="O44" i="2"/>
  <c r="N44" i="2"/>
  <c r="M44" i="2"/>
  <c r="L44" i="2"/>
  <c r="P44" i="2" s="1"/>
  <c r="R44" i="2" s="1"/>
  <c r="Q43" i="2"/>
  <c r="O43" i="2"/>
  <c r="N43" i="2"/>
  <c r="M43" i="2"/>
  <c r="L43" i="2"/>
  <c r="P43" i="2" s="1"/>
  <c r="Q42" i="2"/>
  <c r="O42" i="2"/>
  <c r="N42" i="2"/>
  <c r="M42" i="2"/>
  <c r="L42" i="2"/>
  <c r="P42" i="2" s="1"/>
  <c r="R42" i="2" s="1"/>
  <c r="Q41" i="2"/>
  <c r="O41" i="2"/>
  <c r="N41" i="2"/>
  <c r="M41" i="2"/>
  <c r="L41" i="2"/>
  <c r="P41" i="2" s="1"/>
  <c r="R41" i="2" s="1"/>
  <c r="Q40" i="2"/>
  <c r="O40" i="2"/>
  <c r="N40" i="2"/>
  <c r="M40" i="2"/>
  <c r="L40" i="2"/>
  <c r="P40" i="2" s="1"/>
  <c r="R40" i="2" s="1"/>
  <c r="Q39" i="2"/>
  <c r="O39" i="2"/>
  <c r="N39" i="2"/>
  <c r="M39" i="2"/>
  <c r="L39" i="2"/>
  <c r="P39" i="2" s="1"/>
  <c r="R39" i="2" s="1"/>
  <c r="Q38" i="2"/>
  <c r="O38" i="2"/>
  <c r="N38" i="2"/>
  <c r="M38" i="2"/>
  <c r="L38" i="2"/>
  <c r="P38" i="2" s="1"/>
  <c r="R38" i="2" s="1"/>
  <c r="Q37" i="2"/>
  <c r="O37" i="2"/>
  <c r="N37" i="2"/>
  <c r="M37" i="2"/>
  <c r="L37" i="2"/>
  <c r="P37" i="2" s="1"/>
  <c r="Q36" i="2"/>
  <c r="O36" i="2"/>
  <c r="N36" i="2"/>
  <c r="M36" i="2"/>
  <c r="L36" i="2"/>
  <c r="P36" i="2" s="1"/>
  <c r="Q35" i="2"/>
  <c r="O35" i="2"/>
  <c r="N35" i="2"/>
  <c r="M35" i="2"/>
  <c r="L35" i="2"/>
  <c r="P35" i="2" s="1"/>
  <c r="R35" i="2" s="1"/>
  <c r="Q34" i="2"/>
  <c r="O34" i="2"/>
  <c r="N34" i="2"/>
  <c r="M34" i="2"/>
  <c r="L34" i="2"/>
  <c r="P34" i="2" s="1"/>
  <c r="R34" i="2" s="1"/>
  <c r="Q33" i="2"/>
  <c r="O33" i="2"/>
  <c r="N33" i="2"/>
  <c r="M33" i="2"/>
  <c r="L33" i="2"/>
  <c r="P33" i="2" s="1"/>
  <c r="Q32" i="2"/>
  <c r="O32" i="2"/>
  <c r="N32" i="2"/>
  <c r="M32" i="2"/>
  <c r="L32" i="2"/>
  <c r="P32" i="2" s="1"/>
  <c r="R32" i="2" s="1"/>
  <c r="Q31" i="2"/>
  <c r="O31" i="2"/>
  <c r="N31" i="2"/>
  <c r="M31" i="2"/>
  <c r="L31" i="2"/>
  <c r="P31" i="2" s="1"/>
  <c r="R31" i="2" s="1"/>
  <c r="Q30" i="2"/>
  <c r="O30" i="2"/>
  <c r="N30" i="2"/>
  <c r="M30" i="2"/>
  <c r="L30" i="2"/>
  <c r="P30" i="2" s="1"/>
  <c r="R30" i="2" s="1"/>
  <c r="Q29" i="2"/>
  <c r="O29" i="2"/>
  <c r="N29" i="2"/>
  <c r="M29" i="2"/>
  <c r="L29" i="2"/>
  <c r="P29" i="2" s="1"/>
  <c r="R29" i="2" s="1"/>
  <c r="Q28" i="2"/>
  <c r="O28" i="2"/>
  <c r="N28" i="2"/>
  <c r="M28" i="2"/>
  <c r="L28" i="2"/>
  <c r="P28" i="2" s="1"/>
  <c r="Q27" i="2"/>
  <c r="O27" i="2"/>
  <c r="N27" i="2"/>
  <c r="M27" i="2"/>
  <c r="L27" i="2"/>
  <c r="P27" i="2" s="1"/>
  <c r="Q26" i="2"/>
  <c r="O26" i="2"/>
  <c r="N26" i="2"/>
  <c r="M26" i="2"/>
  <c r="L26" i="2"/>
  <c r="P26" i="2" s="1"/>
  <c r="R26" i="2" s="1"/>
  <c r="Q25" i="2"/>
  <c r="O25" i="2"/>
  <c r="N25" i="2"/>
  <c r="M25" i="2"/>
  <c r="L25" i="2"/>
  <c r="P25" i="2" s="1"/>
  <c r="R25" i="2" s="1"/>
  <c r="Q24" i="2"/>
  <c r="O24" i="2"/>
  <c r="N24" i="2"/>
  <c r="M24" i="2"/>
  <c r="L24" i="2"/>
  <c r="P24" i="2" s="1"/>
  <c r="Q23" i="2"/>
  <c r="O23" i="2"/>
  <c r="N23" i="2"/>
  <c r="M23" i="2"/>
  <c r="L23" i="2"/>
  <c r="P23" i="2" s="1"/>
  <c r="Q22" i="2"/>
  <c r="O22" i="2"/>
  <c r="N22" i="2"/>
  <c r="M22" i="2"/>
  <c r="L22" i="2"/>
  <c r="P22" i="2" s="1"/>
  <c r="R22" i="2" s="1"/>
  <c r="Q21" i="2"/>
  <c r="O21" i="2"/>
  <c r="N21" i="2"/>
  <c r="M21" i="2"/>
  <c r="L21" i="2"/>
  <c r="P21" i="2" s="1"/>
  <c r="R21" i="2" s="1"/>
  <c r="Q20" i="2"/>
  <c r="O20" i="2"/>
  <c r="N20" i="2"/>
  <c r="M20" i="2"/>
  <c r="L20" i="2"/>
  <c r="P20" i="2" s="1"/>
  <c r="R20" i="2" s="1"/>
  <c r="Q19" i="2"/>
  <c r="O19" i="2"/>
  <c r="N19" i="2"/>
  <c r="M19" i="2"/>
  <c r="L19" i="2"/>
  <c r="P19" i="2" s="1"/>
  <c r="Q18" i="2"/>
  <c r="O18" i="2"/>
  <c r="N18" i="2"/>
  <c r="M18" i="2"/>
  <c r="L18" i="2"/>
  <c r="P18" i="2" s="1"/>
  <c r="R18" i="2" s="1"/>
  <c r="Q17" i="2"/>
  <c r="O17" i="2"/>
  <c r="N17" i="2"/>
  <c r="M17" i="2"/>
  <c r="L17" i="2"/>
  <c r="P17" i="2" s="1"/>
  <c r="R17" i="2" s="1"/>
  <c r="Q16" i="2"/>
  <c r="O16" i="2"/>
  <c r="N16" i="2"/>
  <c r="M16" i="2"/>
  <c r="L16" i="2"/>
  <c r="P16" i="2" s="1"/>
  <c r="Q15" i="2"/>
  <c r="O15" i="2"/>
  <c r="N15" i="2"/>
  <c r="M15" i="2"/>
  <c r="L15" i="2"/>
  <c r="P15" i="2" s="1"/>
  <c r="Q14" i="2"/>
  <c r="O14" i="2"/>
  <c r="N14" i="2"/>
  <c r="M14" i="2"/>
  <c r="L14" i="2"/>
  <c r="P14" i="2" s="1"/>
  <c r="R14" i="2" s="1"/>
  <c r="Q13" i="2"/>
  <c r="O13" i="2"/>
  <c r="N13" i="2"/>
  <c r="M13" i="2"/>
  <c r="L13" i="2"/>
  <c r="P13" i="2" s="1"/>
  <c r="Q12" i="2"/>
  <c r="O12" i="2"/>
  <c r="N12" i="2"/>
  <c r="M12" i="2"/>
  <c r="L12" i="2"/>
  <c r="P12" i="2" s="1"/>
  <c r="R12" i="2" s="1"/>
  <c r="Q11" i="2"/>
  <c r="O11" i="2"/>
  <c r="N11" i="2"/>
  <c r="M11" i="2"/>
  <c r="L11" i="2"/>
  <c r="P11" i="2" s="1"/>
  <c r="Q10" i="2"/>
  <c r="O10" i="2"/>
  <c r="N10" i="2"/>
  <c r="M10" i="2"/>
  <c r="L10" i="2"/>
  <c r="P10" i="2" s="1"/>
  <c r="Q9" i="2"/>
  <c r="O9" i="2"/>
  <c r="N9" i="2"/>
  <c r="M9" i="2"/>
  <c r="L9" i="2"/>
  <c r="P9" i="2" s="1"/>
  <c r="Q8" i="2"/>
  <c r="O8" i="2"/>
  <c r="N8" i="2"/>
  <c r="M8" i="2"/>
  <c r="L8" i="2"/>
  <c r="P8" i="2" s="1"/>
  <c r="Q7" i="2"/>
  <c r="O7" i="2"/>
  <c r="N7" i="2"/>
  <c r="M7" i="2"/>
  <c r="L7" i="2"/>
  <c r="P7" i="2" s="1"/>
  <c r="R7" i="2" s="1"/>
  <c r="Q6" i="2"/>
  <c r="O6" i="2"/>
  <c r="N6" i="2"/>
  <c r="M6" i="2"/>
  <c r="L6" i="2"/>
  <c r="P6" i="2" s="1"/>
  <c r="Q5" i="2"/>
  <c r="O5" i="2"/>
  <c r="N5" i="2"/>
  <c r="M5" i="2"/>
  <c r="L5" i="2"/>
  <c r="P5" i="2" s="1"/>
  <c r="Q4" i="2"/>
  <c r="O4" i="2"/>
  <c r="N4" i="2"/>
  <c r="M4" i="2"/>
  <c r="L4" i="2"/>
  <c r="P4" i="2" s="1"/>
  <c r="Q3" i="2"/>
  <c r="O3" i="2"/>
  <c r="N3" i="2"/>
  <c r="M3" i="2"/>
  <c r="L3" i="2"/>
  <c r="P3" i="2" s="1"/>
  <c r="Q2" i="2"/>
  <c r="O2" i="2"/>
  <c r="B29" i="3" s="1"/>
  <c r="N2" i="2"/>
  <c r="B28" i="3" s="1"/>
  <c r="M2" i="2"/>
  <c r="B27" i="3" s="1"/>
  <c r="L2" i="2"/>
  <c r="P2" i="2" s="1"/>
  <c r="E5" i="4"/>
  <c r="C59" i="3" l="1"/>
  <c r="B34" i="3"/>
  <c r="B21" i="3"/>
  <c r="B11" i="3"/>
  <c r="B4" i="3"/>
  <c r="R2" i="2"/>
  <c r="C38" i="3"/>
  <c r="B33" i="3"/>
  <c r="B20" i="3"/>
  <c r="B12" i="3"/>
  <c r="R3" i="2"/>
  <c r="B6" i="3"/>
  <c r="R4" i="2"/>
  <c r="C49" i="3"/>
  <c r="B22" i="3"/>
  <c r="B13" i="3"/>
  <c r="B5" i="3"/>
  <c r="R5" i="2"/>
  <c r="C57" i="3"/>
  <c r="R6" i="2"/>
  <c r="C46" i="3"/>
  <c r="B15" i="3"/>
  <c r="R8" i="2"/>
  <c r="C39" i="3"/>
  <c r="R9" i="2"/>
  <c r="C42" i="3"/>
  <c r="R10" i="2"/>
  <c r="C55" i="3"/>
  <c r="B14" i="3"/>
  <c r="R11" i="2"/>
  <c r="C41" i="3"/>
  <c r="R13" i="2"/>
  <c r="C58" i="3"/>
  <c r="R15" i="2"/>
  <c r="C40" i="3"/>
  <c r="R16" i="2"/>
  <c r="C45" i="3"/>
  <c r="R19" i="2"/>
  <c r="C43" i="3"/>
  <c r="R23" i="2"/>
  <c r="C47" i="3"/>
  <c r="R24" i="2"/>
  <c r="C60" i="3"/>
  <c r="R27" i="2"/>
  <c r="C53" i="3"/>
  <c r="R28" i="2"/>
  <c r="C56" i="3"/>
  <c r="R33" i="2"/>
  <c r="C51" i="3"/>
  <c r="R36" i="2"/>
  <c r="C44" i="3"/>
  <c r="R37" i="2"/>
  <c r="C48" i="3"/>
  <c r="R43" i="2"/>
  <c r="C54" i="3"/>
  <c r="R46" i="2"/>
  <c r="C52" i="3"/>
  <c r="R51" i="2"/>
  <c r="C50" i="3"/>
  <c r="R68" i="2"/>
  <c r="C61" i="3"/>
  <c r="R103" i="2"/>
  <c r="B23" i="3" l="1"/>
  <c r="I5" i="4"/>
  <c r="B7" i="3"/>
  <c r="B16" i="3"/>
  <c r="C15" i="3" l="1"/>
  <c r="C14" i="3"/>
  <c r="C13" i="3"/>
  <c r="C12" i="3"/>
  <c r="C11" i="3"/>
  <c r="C6" i="3"/>
  <c r="C5" i="3"/>
  <c r="C4" i="3"/>
  <c r="I8" i="4"/>
  <c r="E8" i="4"/>
  <c r="A8" i="4"/>
  <c r="C22" i="3"/>
  <c r="C21" i="3"/>
  <c r="C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D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C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D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C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D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Valor editável — altere aqui para simular cenários. O Dashboard e os cálculos são recalculados automaticamente ao abrir no Excel.</t>
        </r>
      </text>
    </comment>
  </commentList>
</comments>
</file>

<file path=xl/sharedStrings.xml><?xml version="1.0" encoding="utf-8"?>
<sst xmlns="http://schemas.openxmlformats.org/spreadsheetml/2006/main" count="9707" uniqueCount="90">
  <si>
    <t>PARÂMETROS CONFIGURÁVEIS  —  edite as células em amarelo</t>
  </si>
  <si>
    <t xml:space="preserve">  Planos e Preços (R$)</t>
  </si>
  <si>
    <t>Plano</t>
  </si>
  <si>
    <t>Preço Mensal</t>
  </si>
  <si>
    <t>Preço Trimestral</t>
  </si>
  <si>
    <t>Preço Anual</t>
  </si>
  <si>
    <t>Core</t>
  </si>
  <si>
    <t>Standard</t>
  </si>
  <si>
    <t>Ultimate</t>
  </si>
  <si>
    <t xml:space="preserve">  Add-ons Opcionais (R$ por assinatura)</t>
  </si>
  <si>
    <t>Add-on</t>
  </si>
  <si>
    <t>Preço</t>
  </si>
  <si>
    <t>EA Play</t>
  </si>
  <si>
    <t>Minecraft Pass</t>
  </si>
  <si>
    <t>Call of Duty Pass</t>
  </si>
  <si>
    <t xml:space="preserve">  Metas e Premissas de Negócio</t>
  </si>
  <si>
    <t>Meta de Receita Anual (R$)</t>
  </si>
  <si>
    <t>Meta de Assinantes</t>
  </si>
  <si>
    <t>Taxa de Conversão Alvo</t>
  </si>
  <si>
    <t>CAC — Custo de Aquisição (R$/un.)</t>
  </si>
  <si>
    <t>Margem de Lucro Alvo</t>
  </si>
  <si>
    <t>Desconto Campanha Promoção</t>
  </si>
  <si>
    <t>Crescimento Mensal Esperado</t>
  </si>
  <si>
    <t>Câmbio USD → BRL (R$)</t>
  </si>
  <si>
    <t>ID</t>
  </si>
  <si>
    <t>Data</t>
  </si>
  <si>
    <t>Ciclo</t>
  </si>
  <si>
    <t>Região</t>
  </si>
  <si>
    <t>Canal</t>
  </si>
  <si>
    <t>Minecraft</t>
  </si>
  <si>
    <t>CoD</t>
  </si>
  <si>
    <t>Tipo</t>
  </si>
  <si>
    <t>Qtd</t>
  </si>
  <si>
    <t>Preço Unit.</t>
  </si>
  <si>
    <t>Valor EA Play</t>
  </si>
  <si>
    <t>Valor Minecraft</t>
  </si>
  <si>
    <t>Valor CoD</t>
  </si>
  <si>
    <t>Receita (R$)</t>
  </si>
  <si>
    <t>Custo (R$)</t>
  </si>
  <si>
    <t>Lucro (R$)</t>
  </si>
  <si>
    <t>Trimestral</t>
  </si>
  <si>
    <t>Sudeste</t>
  </si>
  <si>
    <t>Loja Online</t>
  </si>
  <si>
    <t>Sim</t>
  </si>
  <si>
    <t>Não</t>
  </si>
  <si>
    <t>Renovação</t>
  </si>
  <si>
    <t>Mensal</t>
  </si>
  <si>
    <t>Sul</t>
  </si>
  <si>
    <t>Loja Física</t>
  </si>
  <si>
    <t>Novo</t>
  </si>
  <si>
    <t>Anual</t>
  </si>
  <si>
    <t>Nordeste</t>
  </si>
  <si>
    <t>Parceiro</t>
  </si>
  <si>
    <t>Norte</t>
  </si>
  <si>
    <t>Promoção</t>
  </si>
  <si>
    <t>Centro-Oeste</t>
  </si>
  <si>
    <t>RECEITA POR PLANO</t>
  </si>
  <si>
    <t>Participação</t>
  </si>
  <si>
    <t>TOTAL</t>
  </si>
  <si>
    <t>RECEITA POR REGIÃO</t>
  </si>
  <si>
    <t>RECEITA POR CICLO DE FATURAMENTO</t>
  </si>
  <si>
    <t>RECEITA POR ADD-ON</t>
  </si>
  <si>
    <t>NOVOS vs RENOVAÇÃO</t>
  </si>
  <si>
    <t>EVOLUÇÃO MENSAL DA RECEITA</t>
  </si>
  <si>
    <t>Mês (início)</t>
  </si>
  <si>
    <t>Rótulo</t>
  </si>
  <si>
    <t>Próx. mês</t>
  </si>
  <si>
    <t xml:space="preserve">  XBOX GAME PASS  —  DASHBOARD DE VENDAS EXECUTIVO</t>
  </si>
  <si>
    <t>RECEITA TOTAL (R$)</t>
  </si>
  <si>
    <t>ASSINANTES (un.)</t>
  </si>
  <si>
    <t>LUCRO TOTAL (R$)</t>
  </si>
  <si>
    <t>ARPU (R$)</t>
  </si>
  <si>
    <t>TICKET MÉDIO (R$)</t>
  </si>
  <si>
    <t>MARGEM DE LUCRO</t>
  </si>
  <si>
    <t xml:space="preserve">  Atingimento de Meta  →  Receita: =TEXT('Cálculos'!$B$7/Parâmetros!$B$17,"0%")    |    Assinantes: =TEXT(SUM('Base de Dados'!$K$2:$K$1201)/Parâmetros!$B$18,"0%")    |    Câmbio USD: =TEXT(Parâmetros!$B$24,"R$ 0.00")</t>
  </si>
  <si>
    <t xml:space="preserve">  Visão Analítica (gráficos atualizam automaticamente ao alterar a aba Parâmetros):</t>
  </si>
  <si>
    <t>INSTRUÇÕES DE USO — DASHBOARD XBOX GAME PASS</t>
  </si>
  <si>
    <t>1. Aba 'Parâmetros'  →  É a ÚNICA aba que você precisa editar.</t>
  </si>
  <si>
    <t xml:space="preserve">   • As células em AMARELO são editáveis (preços, metas, descontos, CAC, câmbio, etc.).</t>
  </si>
  <si>
    <t xml:space="preserve">   • Qualquer alteração aqui recalcula TODA a base e o Dashboard automaticamente ao abrir no Excel.</t>
  </si>
  <si>
    <t>2. Aba 'Base de Dados'  →  Registros de transações (artificiais/demo).</t>
  </si>
  <si>
    <t xml:space="preserve">   • As colunas de Receita, Custo e Lucro usam fórmulas que puxam os preços da aba Parâmetros.</t>
  </si>
  <si>
    <t xml:space="preserve">   • Não é necessário editar manualmente; serve como fonte para os gráficos.</t>
  </si>
  <si>
    <t>3. Aba 'Cálculos'  →  Agregações (SUMIFS) por Plano, Região, Ciclo, Add-on, Novos/Renovação e Evolução Mensal.</t>
  </si>
  <si>
    <t xml:space="preserve">   • Totalmente automática — não edite diretamente.</t>
  </si>
  <si>
    <t>4. Aba 'Dashboard'  →  Cartões de KPI + 6 gráficos executivos.</t>
  </si>
  <si>
    <t xml:space="preserve">   • KPIs: Receita Total, Assinantes, Lucro, ARPU, Ticket Médio, Margem, % de Meta atingida.</t>
  </si>
  <si>
    <t xml:space="preserve">   • Use os filtros/segmentações no Excel para explorar; os gráficos reagem aos Parâmetros.</t>
  </si>
  <si>
    <t>Dica: para simular cenários (ex.: aumentar preço do Ultimate ou meta de receita),</t>
  </si>
  <si>
    <t>basta mudar os valores amarelos e观察 o impacto nos KPIs e gráficos.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</si>
</sst>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B0B0B"/>
      <name val="Calibri"/>
    </font>
    <font>
      <b/>
      <sz val="12"/>
      <color rgb="FF107C10"/>
      <name val="Calibri"/>
    </font>
    <font>
      <b/>
      <sz val="18"/>
      <color rgb="FFFFFFFF"/>
      <name val="Calibri"/>
    </font>
    <font>
      <b/>
      <sz val="10"/>
      <color rgb="FF595959"/>
      <name val="Calibri"/>
    </font>
    <font>
      <b/>
      <sz val="20"/>
      <color rgb="FF107C10"/>
      <name val="Calibri"/>
    </font>
    <font>
      <b/>
      <sz val="20"/>
      <color rgb="FF1F7A8C"/>
      <name val="Calibri"/>
    </font>
    <font>
      <b/>
      <sz val="20"/>
      <color rgb="FFE07A00"/>
      <name val="Calibri"/>
    </font>
    <font>
      <b/>
      <sz val="11"/>
      <color rgb="FF107C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7C10"/>
      </patternFill>
    </fill>
    <fill>
      <patternFill patternType="solid">
        <fgColor rgb="FF0B0B0B"/>
      </patternFill>
    </fill>
    <fill>
      <patternFill patternType="solid">
        <fgColor rgb="FF9BC848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0" borderId="1" xfId="0" applyFont="1" applyBorder="1"/>
    <xf numFmtId="4" fontId="4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4" fontId="3" fillId="0" borderId="0" xfId="0" applyNumberFormat="1" applyFont="1"/>
    <xf numFmtId="14" fontId="0" fillId="0" borderId="1" xfId="0" applyNumberFormat="1" applyBorder="1"/>
    <xf numFmtId="0" fontId="0" fillId="0" borderId="0" xfId="0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4" fontId="8" fillId="7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11" fillId="0" borderId="0" xfId="0" applyFont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Receita por Plano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Cálculos!B3</c:f>
              <c:strCache>
                <c:ptCount val="1"/>
                <c:pt idx="0">
                  <c:v>Receita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Cálculos!$A$4:$A$6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Cálculos!$B$4:$B$6</c:f>
              <c:numCache>
                <c:formatCode>#,##0.00</c:formatCode>
                <c:ptCount val="3"/>
                <c:pt idx="0">
                  <c:v>338073.29999999981</c:v>
                </c:pt>
                <c:pt idx="1">
                  <c:v>437443.69099999976</c:v>
                </c:pt>
                <c:pt idx="2">
                  <c:v>380109.78299999976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E-489F-83CC-E6C6C3BF0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Receita por Região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Cálculos!B10</c:f>
              <c:strCache>
                <c:ptCount val="1"/>
                <c:pt idx="0">
                  <c:v>Receita (R$)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Cálculos!$A$11:$A$15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Cálculos!$B$11:$B$15</c:f>
              <c:numCache>
                <c:formatCode>#,##0.00</c:formatCode>
                <c:ptCount val="5"/>
                <c:pt idx="0">
                  <c:v>472762.67999999982</c:v>
                </c:pt>
                <c:pt idx="1">
                  <c:v>234011.95500000013</c:v>
                </c:pt>
                <c:pt idx="2">
                  <c:v>253889.18700000001</c:v>
                </c:pt>
                <c:pt idx="3">
                  <c:v>109712.77100000004</c:v>
                </c:pt>
                <c:pt idx="4">
                  <c:v>85250.181000000026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A-4ABE-B262-8D96BE7C5FD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Receita por Ciclo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Cálculos!B19</c:f>
              <c:strCache>
                <c:ptCount val="1"/>
                <c:pt idx="0">
                  <c:v>Receita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Cálculos!$A$20:$A$22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  <c:val>
            <c:numRef>
              <c:f>Cálculos!$B$20:$B$22</c:f>
              <c:numCache>
                <c:formatCode>#,##0.00</c:formatCode>
                <c:ptCount val="3"/>
                <c:pt idx="0">
                  <c:v>214498.12700000015</c:v>
                </c:pt>
                <c:pt idx="1">
                  <c:v>296481.69699999969</c:v>
                </c:pt>
                <c:pt idx="2">
                  <c:v>644646.94999999995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C-49F1-9D5F-B754BEEE2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Receita por Add-on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Cálculos!B26</c:f>
              <c:strCache>
                <c:ptCount val="1"/>
                <c:pt idx="0">
                  <c:v>Receita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Cálculos!$A$27:$A$29</c:f>
              <c:strCache>
                <c:ptCount val="3"/>
                <c:pt idx="0">
                  <c:v>EA Play</c:v>
                </c:pt>
                <c:pt idx="1">
                  <c:v>Minecraft Pass</c:v>
                </c:pt>
                <c:pt idx="2">
                  <c:v>Call of Duty Pass</c:v>
                </c:pt>
              </c:strCache>
            </c:strRef>
          </c:cat>
          <c:val>
            <c:numRef>
              <c:f>Cálculos!$B$27:$B$29</c:f>
              <c:numCache>
                <c:formatCode>#,##0.00</c:formatCode>
                <c:ptCount val="3"/>
                <c:pt idx="0">
                  <c:v>49680.440000000075</c:v>
                </c:pt>
                <c:pt idx="1">
                  <c:v>34697.039999999994</c:v>
                </c:pt>
                <c:pt idx="2">
                  <c:v>41115.18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9-458D-888E-8705D9A3C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Novos vs Renovação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Cálculos!B32</c:f>
              <c:strCache>
                <c:ptCount val="1"/>
                <c:pt idx="0">
                  <c:v>Receita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Cálculos!$A$33:$A$34</c:f>
              <c:strCache>
                <c:ptCount val="2"/>
                <c:pt idx="0">
                  <c:v>Novo</c:v>
                </c:pt>
                <c:pt idx="1">
                  <c:v>Renovação</c:v>
                </c:pt>
              </c:strCache>
            </c:strRef>
          </c:cat>
          <c:val>
            <c:numRef>
              <c:f>Cálculos!$B$33:$B$34</c:f>
              <c:numCache>
                <c:formatCode>#,##0.00</c:formatCode>
                <c:ptCount val="2"/>
                <c:pt idx="0">
                  <c:v>613005.38799999969</c:v>
                </c:pt>
                <c:pt idx="1">
                  <c:v>542621.38599999947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A-4793-A4F0-98F2DB99B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Evolução Mensal da Receita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Cálculos!C37</c:f>
              <c:strCache>
                <c:ptCount val="1"/>
                <c:pt idx="0">
                  <c:v>Receita (R$)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Cálculos!$B$38:$B$61</c:f>
              <c:strCache>
                <c:ptCount val="24"/>
                <c:pt idx="0">
                  <c:v>jan/yyyy</c:v>
                </c:pt>
                <c:pt idx="1">
                  <c:v>fev/yyyy</c:v>
                </c:pt>
                <c:pt idx="2">
                  <c:v>mar/yyyy</c:v>
                </c:pt>
                <c:pt idx="3">
                  <c:v>abr/yyyy</c:v>
                </c:pt>
                <c:pt idx="4">
                  <c:v>mai/yyyy</c:v>
                </c:pt>
                <c:pt idx="5">
                  <c:v>jun/yyyy</c:v>
                </c:pt>
                <c:pt idx="6">
                  <c:v>jul/yyyy</c:v>
                </c:pt>
                <c:pt idx="7">
                  <c:v>ago/yyyy</c:v>
                </c:pt>
                <c:pt idx="8">
                  <c:v>set/yyyy</c:v>
                </c:pt>
                <c:pt idx="9">
                  <c:v>out/yyyy</c:v>
                </c:pt>
                <c:pt idx="10">
                  <c:v>nov/yyyy</c:v>
                </c:pt>
                <c:pt idx="11">
                  <c:v>dez/yyyy</c:v>
                </c:pt>
                <c:pt idx="12">
                  <c:v>jan/yyyy</c:v>
                </c:pt>
                <c:pt idx="13">
                  <c:v>fev/yyyy</c:v>
                </c:pt>
                <c:pt idx="14">
                  <c:v>mar/yyyy</c:v>
                </c:pt>
                <c:pt idx="15">
                  <c:v>abr/yyyy</c:v>
                </c:pt>
                <c:pt idx="16">
                  <c:v>mai/yyyy</c:v>
                </c:pt>
                <c:pt idx="17">
                  <c:v>jun/yyyy</c:v>
                </c:pt>
                <c:pt idx="18">
                  <c:v>jul/yyyy</c:v>
                </c:pt>
                <c:pt idx="19">
                  <c:v>ago/yyyy</c:v>
                </c:pt>
                <c:pt idx="20">
                  <c:v>set/yyyy</c:v>
                </c:pt>
                <c:pt idx="21">
                  <c:v>out/yyyy</c:v>
                </c:pt>
                <c:pt idx="22">
                  <c:v>nov/yyyy</c:v>
                </c:pt>
                <c:pt idx="23">
                  <c:v>dez/yyyy</c:v>
                </c:pt>
              </c:strCache>
            </c:strRef>
          </c:cat>
          <c:val>
            <c:numRef>
              <c:f>Cálculos!$C$38:$C$61</c:f>
              <c:numCache>
                <c:formatCode>#,##0.00</c:formatCode>
                <c:ptCount val="24"/>
                <c:pt idx="0">
                  <c:v>57551.519000000022</c:v>
                </c:pt>
                <c:pt idx="1">
                  <c:v>28878.031000000006</c:v>
                </c:pt>
                <c:pt idx="2">
                  <c:v>37705.861000000004</c:v>
                </c:pt>
                <c:pt idx="3">
                  <c:v>52865.994999999995</c:v>
                </c:pt>
                <c:pt idx="4">
                  <c:v>53363.608999999997</c:v>
                </c:pt>
                <c:pt idx="5">
                  <c:v>36048.072999999989</c:v>
                </c:pt>
                <c:pt idx="6">
                  <c:v>49747.692999999999</c:v>
                </c:pt>
                <c:pt idx="7">
                  <c:v>51104.15399999998</c:v>
                </c:pt>
                <c:pt idx="8">
                  <c:v>53550.231</c:v>
                </c:pt>
                <c:pt idx="9">
                  <c:v>47962.346999999994</c:v>
                </c:pt>
                <c:pt idx="10">
                  <c:v>49257.969999999987</c:v>
                </c:pt>
                <c:pt idx="11">
                  <c:v>43864.022000000004</c:v>
                </c:pt>
                <c:pt idx="12">
                  <c:v>46812.218999999997</c:v>
                </c:pt>
                <c:pt idx="13">
                  <c:v>57797.33400000001</c:v>
                </c:pt>
                <c:pt idx="14">
                  <c:v>42237.615999999973</c:v>
                </c:pt>
                <c:pt idx="15">
                  <c:v>50402.699000000015</c:v>
                </c:pt>
                <c:pt idx="16">
                  <c:v>40198.635999999991</c:v>
                </c:pt>
                <c:pt idx="17">
                  <c:v>42117.904999999992</c:v>
                </c:pt>
                <c:pt idx="18">
                  <c:v>66470.499000000025</c:v>
                </c:pt>
                <c:pt idx="19">
                  <c:v>52067.100000000006</c:v>
                </c:pt>
                <c:pt idx="20">
                  <c:v>58893.262000000002</c:v>
                </c:pt>
                <c:pt idx="21">
                  <c:v>51577.157999999996</c:v>
                </c:pt>
                <c:pt idx="22">
                  <c:v>47367.332999999999</c:v>
                </c:pt>
                <c:pt idx="23">
                  <c:v>37785.508000000009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83-4D74-9EF2-17CF02F7E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714375</xdr:colOff>
      <xdr:row>11</xdr:row>
      <xdr:rowOff>9525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352425</xdr:colOff>
      <xdr:row>11</xdr:row>
      <xdr:rowOff>19050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704850</xdr:colOff>
      <xdr:row>27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361950</xdr:colOff>
      <xdr:row>26</xdr:row>
      <xdr:rowOff>180975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7C10"/>
  </sheetPr>
  <dimension ref="A1:D24"/>
  <sheetViews>
    <sheetView tabSelected="1" workbookViewId="0">
      <selection activeCell="A9" sqref="A9"/>
    </sheetView>
  </sheetViews>
  <sheetFormatPr defaultRowHeight="15"/>
  <cols>
    <col min="1" max="1" width="44.28515625" customWidth="1"/>
    <col min="2" max="2" width="18.42578125" customWidth="1"/>
    <col min="3" max="3" width="20.5703125" customWidth="1"/>
    <col min="4" max="4" width="19.42578125" customWidth="1"/>
  </cols>
  <sheetData>
    <row r="1" spans="1:4" ht="26.1" customHeight="1">
      <c r="A1" s="23" t="s">
        <v>0</v>
      </c>
      <c r="B1" s="25"/>
      <c r="C1" s="25"/>
      <c r="D1" s="25"/>
    </row>
    <row r="3" spans="1:4">
      <c r="A3" s="1" t="s">
        <v>1</v>
      </c>
    </row>
    <row r="4" spans="1:4">
      <c r="A4" s="26" t="s">
        <v>2</v>
      </c>
      <c r="B4" s="26" t="s">
        <v>3</v>
      </c>
      <c r="C4" s="26" t="s">
        <v>4</v>
      </c>
      <c r="D4" s="26" t="s">
        <v>5</v>
      </c>
    </row>
    <row r="5" spans="1:4">
      <c r="A5" s="2" t="s">
        <v>6</v>
      </c>
      <c r="B5" s="3">
        <v>9.99</v>
      </c>
      <c r="C5" s="3">
        <v>27</v>
      </c>
      <c r="D5" s="3">
        <v>99</v>
      </c>
    </row>
    <row r="6" spans="1:4">
      <c r="A6" s="2" t="s">
        <v>7</v>
      </c>
      <c r="B6" s="3">
        <v>14.99</v>
      </c>
      <c r="C6" s="3">
        <v>40</v>
      </c>
      <c r="D6" s="3">
        <v>149</v>
      </c>
    </row>
    <row r="7" spans="1:4">
      <c r="A7" s="2" t="s">
        <v>8</v>
      </c>
      <c r="B7" s="3">
        <v>21.99</v>
      </c>
      <c r="C7" s="3">
        <v>59</v>
      </c>
      <c r="D7" s="3">
        <v>219</v>
      </c>
    </row>
    <row r="9" spans="1:4">
      <c r="A9" s="1" t="s">
        <v>9</v>
      </c>
    </row>
    <row r="10" spans="1:4">
      <c r="A10" s="26" t="s">
        <v>10</v>
      </c>
      <c r="B10" s="26" t="s">
        <v>11</v>
      </c>
    </row>
    <row r="11" spans="1:4">
      <c r="A11" s="4" t="s">
        <v>12</v>
      </c>
      <c r="B11" s="3">
        <v>4.99</v>
      </c>
    </row>
    <row r="12" spans="1:4">
      <c r="A12" s="4" t="s">
        <v>13</v>
      </c>
      <c r="B12" s="3">
        <v>3.99</v>
      </c>
    </row>
    <row r="13" spans="1:4">
      <c r="A13" s="4" t="s">
        <v>14</v>
      </c>
      <c r="B13" s="3">
        <v>6.99</v>
      </c>
    </row>
    <row r="15" spans="1:4">
      <c r="A15" s="1" t="s">
        <v>15</v>
      </c>
    </row>
    <row r="17" spans="1:2">
      <c r="A17" s="5" t="s">
        <v>16</v>
      </c>
      <c r="B17" s="6">
        <v>6000000</v>
      </c>
    </row>
    <row r="18" spans="1:2">
      <c r="A18" s="5" t="s">
        <v>17</v>
      </c>
      <c r="B18" s="6">
        <v>250000</v>
      </c>
    </row>
    <row r="19" spans="1:2">
      <c r="A19" s="5" t="s">
        <v>18</v>
      </c>
      <c r="B19" s="7">
        <v>0.18</v>
      </c>
    </row>
    <row r="20" spans="1:2">
      <c r="A20" s="5" t="s">
        <v>19</v>
      </c>
      <c r="B20" s="3">
        <v>12</v>
      </c>
    </row>
    <row r="21" spans="1:2">
      <c r="A21" s="5" t="s">
        <v>20</v>
      </c>
      <c r="B21" s="7">
        <v>0.35</v>
      </c>
    </row>
    <row r="22" spans="1:2">
      <c r="A22" s="5" t="s">
        <v>21</v>
      </c>
      <c r="B22" s="7">
        <v>0.1</v>
      </c>
    </row>
    <row r="23" spans="1:2">
      <c r="A23" s="5" t="s">
        <v>22</v>
      </c>
      <c r="B23" s="7">
        <v>0.05</v>
      </c>
    </row>
    <row r="24" spans="1:2">
      <c r="A24" s="5" t="s">
        <v>23</v>
      </c>
      <c r="B24" s="3">
        <v>5.4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7A8C"/>
  </sheetPr>
  <dimension ref="A1:R1201"/>
  <sheetViews>
    <sheetView workbookViewId="0">
      <pane ySplit="1" topLeftCell="A2" activePane="bottomLeft" state="frozen"/>
      <selection pane="bottomLeft" activeCell="O2" sqref="O2"/>
    </sheetView>
  </sheetViews>
  <sheetFormatPr defaultRowHeight="15"/>
  <cols>
    <col min="1" max="1" width="7" customWidth="1"/>
    <col min="2" max="2" width="12" customWidth="1"/>
    <col min="3" max="3" width="10" customWidth="1"/>
    <col min="4" max="4" width="11" customWidth="1"/>
    <col min="5" max="5" width="13" customWidth="1"/>
    <col min="6" max="6" width="14" customWidth="1"/>
    <col min="7" max="7" width="9" customWidth="1"/>
    <col min="8" max="8" width="11" customWidth="1"/>
    <col min="9" max="9" width="8" customWidth="1"/>
    <col min="10" max="10" width="12" customWidth="1"/>
    <col min="11" max="11" width="6" customWidth="1"/>
    <col min="12" max="12" width="12" customWidth="1"/>
    <col min="13" max="13" width="13" customWidth="1"/>
    <col min="14" max="14" width="15" customWidth="1"/>
    <col min="15" max="15" width="12" customWidth="1"/>
    <col min="16" max="16" width="14" customWidth="1"/>
    <col min="17" max="18" width="12" customWidth="1"/>
  </cols>
  <sheetData>
    <row r="1" spans="1:18">
      <c r="A1" s="27" t="s">
        <v>24</v>
      </c>
      <c r="B1" s="27" t="s">
        <v>25</v>
      </c>
      <c r="C1" s="27" t="s">
        <v>2</v>
      </c>
      <c r="D1" s="27" t="s">
        <v>26</v>
      </c>
      <c r="E1" s="27" t="s">
        <v>27</v>
      </c>
      <c r="F1" s="27" t="s">
        <v>28</v>
      </c>
      <c r="G1" s="27" t="s">
        <v>12</v>
      </c>
      <c r="H1" s="27" t="s">
        <v>29</v>
      </c>
      <c r="I1" s="27" t="s">
        <v>30</v>
      </c>
      <c r="J1" s="27" t="s">
        <v>31</v>
      </c>
      <c r="K1" s="27" t="s">
        <v>32</v>
      </c>
      <c r="L1" s="27" t="s">
        <v>33</v>
      </c>
      <c r="M1" s="27" t="s">
        <v>34</v>
      </c>
      <c r="N1" s="27" t="s">
        <v>35</v>
      </c>
      <c r="O1" s="27" t="s">
        <v>36</v>
      </c>
      <c r="P1" s="27" t="s">
        <v>37</v>
      </c>
      <c r="Q1" s="27" t="s">
        <v>38</v>
      </c>
      <c r="R1" s="27" t="s">
        <v>39</v>
      </c>
    </row>
    <row r="2" spans="1:18">
      <c r="A2">
        <v>1</v>
      </c>
      <c r="B2" s="8">
        <v>45946</v>
      </c>
      <c r="C2" t="s">
        <v>6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45</v>
      </c>
      <c r="K2" s="9">
        <v>3</v>
      </c>
      <c r="L2" s="10">
        <f>IFERROR(VLOOKUP(C2,Parâmetros!$A$5:$D$7,IF(D2="Mensal",2,IF(D2="Trimestral",3,4)),0),0)</f>
        <v>27</v>
      </c>
      <c r="M2" s="10">
        <f>IF(G2="Sim",VLOOKUP("EA Play",Parâmetros!$A$11:$B$13,2,0),0)*K2</f>
        <v>14.97</v>
      </c>
      <c r="N2" s="10">
        <f>IF(H2="Sim",VLOOKUP("Minecraft Pass",Parâmetros!$A$11:$B$13,2,0),0)*K2</f>
        <v>0</v>
      </c>
      <c r="O2" s="10">
        <f>IF(I2="Sim",VLOOKUP("Call of Duty Pass",Parâmetros!$A$11:$B$13,2,0),0)*K2</f>
        <v>0</v>
      </c>
      <c r="P2" s="10">
        <f>(L2*K2+M2+N2+O2)*IF(F2="Promoção",1-Parâmetros!$B$22,1)</f>
        <v>95.97</v>
      </c>
      <c r="Q2" s="10">
        <f>Parâmetros!$B$20*K2</f>
        <v>36</v>
      </c>
      <c r="R2" s="10">
        <f>P2-Q2</f>
        <v>59.97</v>
      </c>
    </row>
    <row r="3" spans="1:18">
      <c r="A3">
        <v>2</v>
      </c>
      <c r="B3" s="8">
        <v>45322</v>
      </c>
      <c r="C3" t="s">
        <v>6</v>
      </c>
      <c r="D3" t="s">
        <v>46</v>
      </c>
      <c r="E3" t="s">
        <v>47</v>
      </c>
      <c r="F3" t="s">
        <v>48</v>
      </c>
      <c r="G3" t="s">
        <v>44</v>
      </c>
      <c r="H3" t="s">
        <v>44</v>
      </c>
      <c r="I3" t="s">
        <v>44</v>
      </c>
      <c r="J3" t="s">
        <v>49</v>
      </c>
      <c r="K3" s="9">
        <v>18</v>
      </c>
      <c r="L3" s="10">
        <f>IFERROR(VLOOKUP(C3,Parâmetros!$A$5:$D$7,IF(D3="Mensal",2,IF(D3="Trimestral",3,4)),0),0)</f>
        <v>9.99</v>
      </c>
      <c r="M3" s="10">
        <f>IF(G3="Sim",VLOOKUP("EA Play",Parâmetros!$A$11:$B$13,2,0),0)*K3</f>
        <v>0</v>
      </c>
      <c r="N3" s="10">
        <f>IF(H3="Sim",VLOOKUP("Minecraft Pass",Parâmetros!$A$11:$B$13,2,0),0)*K3</f>
        <v>0</v>
      </c>
      <c r="O3" s="10">
        <f>IF(I3="Sim",VLOOKUP("Call of Duty Pass",Parâmetros!$A$11:$B$13,2,0),0)*K3</f>
        <v>0</v>
      </c>
      <c r="P3" s="10">
        <f>(L3*K3+M3+N3+O3)*IF(F3="Promoção",1-Parâmetros!$B$22,1)</f>
        <v>179.82</v>
      </c>
      <c r="Q3" s="10">
        <f>Parâmetros!$B$20*K3</f>
        <v>216</v>
      </c>
      <c r="R3" s="10">
        <f>P3-Q3</f>
        <v>-36.180000000000007</v>
      </c>
    </row>
    <row r="4" spans="1:18">
      <c r="A4">
        <v>3</v>
      </c>
      <c r="B4" s="8">
        <v>45298</v>
      </c>
      <c r="C4" t="s">
        <v>8</v>
      </c>
      <c r="D4" t="s">
        <v>46</v>
      </c>
      <c r="E4" t="s">
        <v>47</v>
      </c>
      <c r="F4" t="s">
        <v>42</v>
      </c>
      <c r="G4" t="s">
        <v>43</v>
      </c>
      <c r="H4" t="s">
        <v>44</v>
      </c>
      <c r="I4" t="s">
        <v>43</v>
      </c>
      <c r="J4" t="s">
        <v>49</v>
      </c>
      <c r="K4" s="9">
        <v>23</v>
      </c>
      <c r="L4" s="10">
        <f>IFERROR(VLOOKUP(C4,Parâmetros!$A$5:$D$7,IF(D4="Mensal",2,IF(D4="Trimestral",3,4)),0),0)</f>
        <v>21.99</v>
      </c>
      <c r="M4" s="10">
        <f>IF(G4="Sim",VLOOKUP("EA Play",Parâmetros!$A$11:$B$13,2,0),0)*K4</f>
        <v>114.77000000000001</v>
      </c>
      <c r="N4" s="10">
        <f>IF(H4="Sim",VLOOKUP("Minecraft Pass",Parâmetros!$A$11:$B$13,2,0),0)*K4</f>
        <v>0</v>
      </c>
      <c r="O4" s="10">
        <f>IF(I4="Sim",VLOOKUP("Call of Duty Pass",Parâmetros!$A$11:$B$13,2,0),0)*K4</f>
        <v>160.77000000000001</v>
      </c>
      <c r="P4" s="10">
        <f>(L4*K4+M4+N4+O4)*IF(F4="Promoção",1-Parâmetros!$B$22,1)</f>
        <v>781.31</v>
      </c>
      <c r="Q4" s="10">
        <f>Parâmetros!$B$20*K4</f>
        <v>276</v>
      </c>
      <c r="R4" s="10">
        <f>P4-Q4</f>
        <v>505.30999999999995</v>
      </c>
    </row>
    <row r="5" spans="1:18">
      <c r="A5">
        <v>4</v>
      </c>
      <c r="B5" s="8">
        <v>45644</v>
      </c>
      <c r="C5" t="s">
        <v>7</v>
      </c>
      <c r="D5" t="s">
        <v>50</v>
      </c>
      <c r="E5" t="s">
        <v>51</v>
      </c>
      <c r="F5" t="s">
        <v>48</v>
      </c>
      <c r="G5" t="s">
        <v>44</v>
      </c>
      <c r="H5" t="s">
        <v>43</v>
      </c>
      <c r="I5" t="s">
        <v>44</v>
      </c>
      <c r="J5" t="s">
        <v>45</v>
      </c>
      <c r="K5" s="9">
        <v>24</v>
      </c>
      <c r="L5" s="10">
        <f>IFERROR(VLOOKUP(C5,Parâmetros!$A$5:$D$7,IF(D5="Mensal",2,IF(D5="Trimestral",3,4)),0),0)</f>
        <v>149</v>
      </c>
      <c r="M5" s="10">
        <f>IF(G5="Sim",VLOOKUP("EA Play",Parâmetros!$A$11:$B$13,2,0),0)*K5</f>
        <v>0</v>
      </c>
      <c r="N5" s="10">
        <f>IF(H5="Sim",VLOOKUP("Minecraft Pass",Parâmetros!$A$11:$B$13,2,0),0)*K5</f>
        <v>95.76</v>
      </c>
      <c r="O5" s="10">
        <f>IF(I5="Sim",VLOOKUP("Call of Duty Pass",Parâmetros!$A$11:$B$13,2,0),0)*K5</f>
        <v>0</v>
      </c>
      <c r="P5" s="10">
        <f>(L5*K5+M5+N5+O5)*IF(F5="Promoção",1-Parâmetros!$B$22,1)</f>
        <v>3671.76</v>
      </c>
      <c r="Q5" s="10">
        <f>Parâmetros!$B$20*K5</f>
        <v>288</v>
      </c>
      <c r="R5" s="10">
        <f>P5-Q5</f>
        <v>3383.76</v>
      </c>
    </row>
    <row r="6" spans="1:18">
      <c r="A6">
        <v>5</v>
      </c>
      <c r="B6" s="8">
        <v>45883</v>
      </c>
      <c r="C6" t="s">
        <v>6</v>
      </c>
      <c r="D6" t="s">
        <v>46</v>
      </c>
      <c r="E6" t="s">
        <v>51</v>
      </c>
      <c r="F6" t="s">
        <v>52</v>
      </c>
      <c r="G6" t="s">
        <v>44</v>
      </c>
      <c r="H6" t="s">
        <v>44</v>
      </c>
      <c r="I6" t="s">
        <v>44</v>
      </c>
      <c r="J6" t="s">
        <v>49</v>
      </c>
      <c r="K6" s="9">
        <v>30</v>
      </c>
      <c r="L6" s="10">
        <f>IFERROR(VLOOKUP(C6,Parâmetros!$A$5:$D$7,IF(D6="Mensal",2,IF(D6="Trimestral",3,4)),0),0)</f>
        <v>9.99</v>
      </c>
      <c r="M6" s="10">
        <f>IF(G6="Sim",VLOOKUP("EA Play",Parâmetros!$A$11:$B$13,2,0),0)*K6</f>
        <v>0</v>
      </c>
      <c r="N6" s="10">
        <f>IF(H6="Sim",VLOOKUP("Minecraft Pass",Parâmetros!$A$11:$B$13,2,0),0)*K6</f>
        <v>0</v>
      </c>
      <c r="O6" s="10">
        <f>IF(I6="Sim",VLOOKUP("Call of Duty Pass",Parâmetros!$A$11:$B$13,2,0),0)*K6</f>
        <v>0</v>
      </c>
      <c r="P6" s="10">
        <f>(L6*K6+M6+N6+O6)*IF(F6="Promoção",1-Parâmetros!$B$22,1)</f>
        <v>299.7</v>
      </c>
      <c r="Q6" s="10">
        <f>Parâmetros!$B$20*K6</f>
        <v>360</v>
      </c>
      <c r="R6" s="10">
        <f>P6-Q6</f>
        <v>-60.300000000000011</v>
      </c>
    </row>
    <row r="7" spans="1:18">
      <c r="A7">
        <v>6</v>
      </c>
      <c r="B7" s="8">
        <v>45942</v>
      </c>
      <c r="C7" t="s">
        <v>8</v>
      </c>
      <c r="D7" t="s">
        <v>46</v>
      </c>
      <c r="E7" t="s">
        <v>41</v>
      </c>
      <c r="F7" t="s">
        <v>52</v>
      </c>
      <c r="G7" t="s">
        <v>44</v>
      </c>
      <c r="H7" t="s">
        <v>44</v>
      </c>
      <c r="I7" t="s">
        <v>43</v>
      </c>
      <c r="J7" t="s">
        <v>45</v>
      </c>
      <c r="K7" s="9">
        <v>35</v>
      </c>
      <c r="L7" s="10">
        <f>IFERROR(VLOOKUP(C7,Parâmetros!$A$5:$D$7,IF(D7="Mensal",2,IF(D7="Trimestral",3,4)),0),0)</f>
        <v>21.99</v>
      </c>
      <c r="M7" s="10">
        <f>IF(G7="Sim",VLOOKUP("EA Play",Parâmetros!$A$11:$B$13,2,0),0)*K7</f>
        <v>0</v>
      </c>
      <c r="N7" s="10">
        <f>IF(H7="Sim",VLOOKUP("Minecraft Pass",Parâmetros!$A$11:$B$13,2,0),0)*K7</f>
        <v>0</v>
      </c>
      <c r="O7" s="10">
        <f>IF(I7="Sim",VLOOKUP("Call of Duty Pass",Parâmetros!$A$11:$B$13,2,0),0)*K7</f>
        <v>244.65</v>
      </c>
      <c r="P7" s="10">
        <f>(L7*K7+M7+N7+O7)*IF(F7="Promoção",1-Parâmetros!$B$22,1)</f>
        <v>1014.3</v>
      </c>
      <c r="Q7" s="10">
        <f>Parâmetros!$B$20*K7</f>
        <v>420</v>
      </c>
      <c r="R7" s="10">
        <f>P7-Q7</f>
        <v>594.29999999999995</v>
      </c>
    </row>
    <row r="8" spans="1:18">
      <c r="A8">
        <v>7</v>
      </c>
      <c r="B8" s="8">
        <v>45542</v>
      </c>
      <c r="C8" t="s">
        <v>6</v>
      </c>
      <c r="D8" t="s">
        <v>46</v>
      </c>
      <c r="E8" t="s">
        <v>53</v>
      </c>
      <c r="F8" t="s">
        <v>52</v>
      </c>
      <c r="G8" t="s">
        <v>44</v>
      </c>
      <c r="H8" t="s">
        <v>44</v>
      </c>
      <c r="I8" t="s">
        <v>44</v>
      </c>
      <c r="J8" t="s">
        <v>45</v>
      </c>
      <c r="K8" s="9">
        <v>15</v>
      </c>
      <c r="L8" s="10">
        <f>IFERROR(VLOOKUP(C8,Parâmetros!$A$5:$D$7,IF(D8="Mensal",2,IF(D8="Trimestral",3,4)),0),0)</f>
        <v>9.99</v>
      </c>
      <c r="M8" s="10">
        <f>IF(G8="Sim",VLOOKUP("EA Play",Parâmetros!$A$11:$B$13,2,0),0)*K8</f>
        <v>0</v>
      </c>
      <c r="N8" s="10">
        <f>IF(H8="Sim",VLOOKUP("Minecraft Pass",Parâmetros!$A$11:$B$13,2,0),0)*K8</f>
        <v>0</v>
      </c>
      <c r="O8" s="10">
        <f>IF(I8="Sim",VLOOKUP("Call of Duty Pass",Parâmetros!$A$11:$B$13,2,0),0)*K8</f>
        <v>0</v>
      </c>
      <c r="P8" s="10">
        <f>(L8*K8+M8+N8+O8)*IF(F8="Promoção",1-Parâmetros!$B$22,1)</f>
        <v>149.85</v>
      </c>
      <c r="Q8" s="10">
        <f>Parâmetros!$B$20*K8</f>
        <v>180</v>
      </c>
      <c r="R8" s="10">
        <f>P8-Q8</f>
        <v>-30.150000000000006</v>
      </c>
    </row>
    <row r="9" spans="1:18">
      <c r="A9">
        <v>8</v>
      </c>
      <c r="B9" s="8">
        <v>45324</v>
      </c>
      <c r="C9" t="s">
        <v>8</v>
      </c>
      <c r="D9" t="s">
        <v>46</v>
      </c>
      <c r="E9" t="s">
        <v>41</v>
      </c>
      <c r="F9" t="s">
        <v>54</v>
      </c>
      <c r="G9" t="s">
        <v>44</v>
      </c>
      <c r="H9" t="s">
        <v>44</v>
      </c>
      <c r="I9" t="s">
        <v>43</v>
      </c>
      <c r="J9" t="s">
        <v>49</v>
      </c>
      <c r="K9" s="9">
        <v>30</v>
      </c>
      <c r="L9" s="10">
        <f>IFERROR(VLOOKUP(C9,Parâmetros!$A$5:$D$7,IF(D9="Mensal",2,IF(D9="Trimestral",3,4)),0),0)</f>
        <v>21.99</v>
      </c>
      <c r="M9" s="10">
        <f>IF(G9="Sim",VLOOKUP("EA Play",Parâmetros!$A$11:$B$13,2,0),0)*K9</f>
        <v>0</v>
      </c>
      <c r="N9" s="10">
        <f>IF(H9="Sim",VLOOKUP("Minecraft Pass",Parâmetros!$A$11:$B$13,2,0),0)*K9</f>
        <v>0</v>
      </c>
      <c r="O9" s="10">
        <f>IF(I9="Sim",VLOOKUP("Call of Duty Pass",Parâmetros!$A$11:$B$13,2,0),0)*K9</f>
        <v>209.70000000000002</v>
      </c>
      <c r="P9" s="10">
        <f>(L9*K9+M9+N9+O9)*IF(F9="Promoção",1-Parâmetros!$B$22,1)</f>
        <v>782.46</v>
      </c>
      <c r="Q9" s="10">
        <f>Parâmetros!$B$20*K9</f>
        <v>360</v>
      </c>
      <c r="R9" s="10">
        <f>P9-Q9</f>
        <v>422.46000000000004</v>
      </c>
    </row>
    <row r="10" spans="1:18">
      <c r="A10">
        <v>9</v>
      </c>
      <c r="B10" s="8">
        <v>45438</v>
      </c>
      <c r="C10" t="s">
        <v>6</v>
      </c>
      <c r="D10" t="s">
        <v>46</v>
      </c>
      <c r="E10" t="s">
        <v>47</v>
      </c>
      <c r="F10" t="s">
        <v>42</v>
      </c>
      <c r="G10" t="s">
        <v>44</v>
      </c>
      <c r="H10" t="s">
        <v>44</v>
      </c>
      <c r="I10" t="s">
        <v>44</v>
      </c>
      <c r="J10" t="s">
        <v>49</v>
      </c>
      <c r="K10" s="9">
        <v>9</v>
      </c>
      <c r="L10" s="10">
        <f>IFERROR(VLOOKUP(C10,Parâmetros!$A$5:$D$7,IF(D10="Mensal",2,IF(D10="Trimestral",3,4)),0),0)</f>
        <v>9.99</v>
      </c>
      <c r="M10" s="10">
        <f>IF(G10="Sim",VLOOKUP("EA Play",Parâmetros!$A$11:$B$13,2,0),0)*K10</f>
        <v>0</v>
      </c>
      <c r="N10" s="10">
        <f>IF(H10="Sim",VLOOKUP("Minecraft Pass",Parâmetros!$A$11:$B$13,2,0),0)*K10</f>
        <v>0</v>
      </c>
      <c r="O10" s="10">
        <f>IF(I10="Sim",VLOOKUP("Call of Duty Pass",Parâmetros!$A$11:$B$13,2,0),0)*K10</f>
        <v>0</v>
      </c>
      <c r="P10" s="10">
        <f>(L10*K10+M10+N10+O10)*IF(F10="Promoção",1-Parâmetros!$B$22,1)</f>
        <v>89.91</v>
      </c>
      <c r="Q10" s="10">
        <f>Parâmetros!$B$20*K10</f>
        <v>108</v>
      </c>
      <c r="R10" s="10">
        <f>P10-Q10</f>
        <v>-18.090000000000003</v>
      </c>
    </row>
    <row r="11" spans="1:18">
      <c r="A11">
        <v>10</v>
      </c>
      <c r="B11" s="8">
        <v>45813</v>
      </c>
      <c r="C11" t="s">
        <v>7</v>
      </c>
      <c r="D11" t="s">
        <v>40</v>
      </c>
      <c r="E11" t="s">
        <v>55</v>
      </c>
      <c r="F11" t="s">
        <v>42</v>
      </c>
      <c r="G11" t="s">
        <v>43</v>
      </c>
      <c r="H11" t="s">
        <v>44</v>
      </c>
      <c r="I11" t="s">
        <v>44</v>
      </c>
      <c r="J11" t="s">
        <v>49</v>
      </c>
      <c r="K11" s="9">
        <v>30</v>
      </c>
      <c r="L11" s="10">
        <f>IFERROR(VLOOKUP(C11,Parâmetros!$A$5:$D$7,IF(D11="Mensal",2,IF(D11="Trimestral",3,4)),0),0)</f>
        <v>40</v>
      </c>
      <c r="M11" s="10">
        <f>IF(G11="Sim",VLOOKUP("EA Play",Parâmetros!$A$11:$B$13,2,0),0)*K11</f>
        <v>149.70000000000002</v>
      </c>
      <c r="N11" s="10">
        <f>IF(H11="Sim",VLOOKUP("Minecraft Pass",Parâmetros!$A$11:$B$13,2,0),0)*K11</f>
        <v>0</v>
      </c>
      <c r="O11" s="10">
        <f>IF(I11="Sim",VLOOKUP("Call of Duty Pass",Parâmetros!$A$11:$B$13,2,0),0)*K11</f>
        <v>0</v>
      </c>
      <c r="P11" s="10">
        <f>(L11*K11+M11+N11+O11)*IF(F11="Promoção",1-Parâmetros!$B$22,1)</f>
        <v>1349.7</v>
      </c>
      <c r="Q11" s="10">
        <f>Parâmetros!$B$20*K11</f>
        <v>360</v>
      </c>
      <c r="R11" s="10">
        <f>P11-Q11</f>
        <v>989.7</v>
      </c>
    </row>
    <row r="12" spans="1:18">
      <c r="A12">
        <v>11</v>
      </c>
      <c r="B12" s="8">
        <v>45833</v>
      </c>
      <c r="C12" t="s">
        <v>6</v>
      </c>
      <c r="D12" t="s">
        <v>40</v>
      </c>
      <c r="E12" t="s">
        <v>53</v>
      </c>
      <c r="F12" t="s">
        <v>52</v>
      </c>
      <c r="G12" t="s">
        <v>43</v>
      </c>
      <c r="H12" t="s">
        <v>44</v>
      </c>
      <c r="I12" t="s">
        <v>44</v>
      </c>
      <c r="J12" t="s">
        <v>45</v>
      </c>
      <c r="K12" s="9">
        <v>22</v>
      </c>
      <c r="L12" s="10">
        <f>IFERROR(VLOOKUP(C12,Parâmetros!$A$5:$D$7,IF(D12="Mensal",2,IF(D12="Trimestral",3,4)),0),0)</f>
        <v>27</v>
      </c>
      <c r="M12" s="10">
        <f>IF(G12="Sim",VLOOKUP("EA Play",Parâmetros!$A$11:$B$13,2,0),0)*K12</f>
        <v>109.78</v>
      </c>
      <c r="N12" s="10">
        <f>IF(H12="Sim",VLOOKUP("Minecraft Pass",Parâmetros!$A$11:$B$13,2,0),0)*K12</f>
        <v>0</v>
      </c>
      <c r="O12" s="10">
        <f>IF(I12="Sim",VLOOKUP("Call of Duty Pass",Parâmetros!$A$11:$B$13,2,0),0)*K12</f>
        <v>0</v>
      </c>
      <c r="P12" s="10">
        <f>(L12*K12+M12+N12+O12)*IF(F12="Promoção",1-Parâmetros!$B$22,1)</f>
        <v>703.78</v>
      </c>
      <c r="Q12" s="10">
        <f>Parâmetros!$B$20*K12</f>
        <v>264</v>
      </c>
      <c r="R12" s="10">
        <f>P12-Q12</f>
        <v>439.78</v>
      </c>
    </row>
    <row r="13" spans="1:18">
      <c r="A13">
        <v>12</v>
      </c>
      <c r="B13" s="8">
        <v>45406</v>
      </c>
      <c r="C13" t="s">
        <v>6</v>
      </c>
      <c r="D13" t="s">
        <v>46</v>
      </c>
      <c r="E13" t="s">
        <v>41</v>
      </c>
      <c r="F13" t="s">
        <v>52</v>
      </c>
      <c r="G13" t="s">
        <v>44</v>
      </c>
      <c r="H13" t="s">
        <v>44</v>
      </c>
      <c r="I13" t="s">
        <v>44</v>
      </c>
      <c r="J13" t="s">
        <v>49</v>
      </c>
      <c r="K13" s="9">
        <v>7</v>
      </c>
      <c r="L13" s="10">
        <f>IFERROR(VLOOKUP(C13,Parâmetros!$A$5:$D$7,IF(D13="Mensal",2,IF(D13="Trimestral",3,4)),0),0)</f>
        <v>9.99</v>
      </c>
      <c r="M13" s="10">
        <f>IF(G13="Sim",VLOOKUP("EA Play",Parâmetros!$A$11:$B$13,2,0),0)*K13</f>
        <v>0</v>
      </c>
      <c r="N13" s="10">
        <f>IF(H13="Sim",VLOOKUP("Minecraft Pass",Parâmetros!$A$11:$B$13,2,0),0)*K13</f>
        <v>0</v>
      </c>
      <c r="O13" s="10">
        <f>IF(I13="Sim",VLOOKUP("Call of Duty Pass",Parâmetros!$A$11:$B$13,2,0),0)*K13</f>
        <v>0</v>
      </c>
      <c r="P13" s="10">
        <f>(L13*K13+M13+N13+O13)*IF(F13="Promoção",1-Parâmetros!$B$22,1)</f>
        <v>69.930000000000007</v>
      </c>
      <c r="Q13" s="10">
        <f>Parâmetros!$B$20*K13</f>
        <v>84</v>
      </c>
      <c r="R13" s="10">
        <f>P13-Q13</f>
        <v>-14.069999999999993</v>
      </c>
    </row>
    <row r="14" spans="1:18">
      <c r="A14">
        <v>13</v>
      </c>
      <c r="B14" s="8">
        <v>45932</v>
      </c>
      <c r="C14" t="s">
        <v>6</v>
      </c>
      <c r="D14" t="s">
        <v>40</v>
      </c>
      <c r="E14" t="s">
        <v>47</v>
      </c>
      <c r="F14" t="s">
        <v>42</v>
      </c>
      <c r="G14" t="s">
        <v>44</v>
      </c>
      <c r="H14" t="s">
        <v>44</v>
      </c>
      <c r="I14" t="s">
        <v>44</v>
      </c>
      <c r="J14" t="s">
        <v>49</v>
      </c>
      <c r="K14" s="9">
        <v>1</v>
      </c>
      <c r="L14" s="10">
        <f>IFERROR(VLOOKUP(C14,Parâmetros!$A$5:$D$7,IF(D14="Mensal",2,IF(D14="Trimestral",3,4)),0),0)</f>
        <v>27</v>
      </c>
      <c r="M14" s="10">
        <f>IF(G14="Sim",VLOOKUP("EA Play",Parâmetros!$A$11:$B$13,2,0),0)*K14</f>
        <v>0</v>
      </c>
      <c r="N14" s="10">
        <f>IF(H14="Sim",VLOOKUP("Minecraft Pass",Parâmetros!$A$11:$B$13,2,0),0)*K14</f>
        <v>0</v>
      </c>
      <c r="O14" s="10">
        <f>IF(I14="Sim",VLOOKUP("Call of Duty Pass",Parâmetros!$A$11:$B$13,2,0),0)*K14</f>
        <v>0</v>
      </c>
      <c r="P14" s="10">
        <f>(L14*K14+M14+N14+O14)*IF(F14="Promoção",1-Parâmetros!$B$22,1)</f>
        <v>27</v>
      </c>
      <c r="Q14" s="10">
        <f>Parâmetros!$B$20*K14</f>
        <v>12</v>
      </c>
      <c r="R14" s="10">
        <f>P14-Q14</f>
        <v>15</v>
      </c>
    </row>
    <row r="15" spans="1:18">
      <c r="A15">
        <v>14</v>
      </c>
      <c r="B15" s="8">
        <v>45905</v>
      </c>
      <c r="C15" t="s">
        <v>6</v>
      </c>
      <c r="D15" t="s">
        <v>46</v>
      </c>
      <c r="E15" t="s">
        <v>55</v>
      </c>
      <c r="F15" t="s">
        <v>54</v>
      </c>
      <c r="G15" t="s">
        <v>44</v>
      </c>
      <c r="H15" t="s">
        <v>43</v>
      </c>
      <c r="I15" t="s">
        <v>43</v>
      </c>
      <c r="J15" t="s">
        <v>45</v>
      </c>
      <c r="K15" s="9">
        <v>6</v>
      </c>
      <c r="L15" s="10">
        <f>IFERROR(VLOOKUP(C15,Parâmetros!$A$5:$D$7,IF(D15="Mensal",2,IF(D15="Trimestral",3,4)),0),0)</f>
        <v>9.99</v>
      </c>
      <c r="M15" s="10">
        <f>IF(G15="Sim",VLOOKUP("EA Play",Parâmetros!$A$11:$B$13,2,0),0)*K15</f>
        <v>0</v>
      </c>
      <c r="N15" s="10">
        <f>IF(H15="Sim",VLOOKUP("Minecraft Pass",Parâmetros!$A$11:$B$13,2,0),0)*K15</f>
        <v>23.94</v>
      </c>
      <c r="O15" s="10">
        <f>IF(I15="Sim",VLOOKUP("Call of Duty Pass",Parâmetros!$A$11:$B$13,2,0),0)*K15</f>
        <v>41.94</v>
      </c>
      <c r="P15" s="10">
        <f>(L15*K15+M15+N15+O15)*IF(F15="Promoção",1-Parâmetros!$B$22,1)</f>
        <v>113.238</v>
      </c>
      <c r="Q15" s="10">
        <f>Parâmetros!$B$20*K15</f>
        <v>72</v>
      </c>
      <c r="R15" s="10">
        <f>P15-Q15</f>
        <v>41.238</v>
      </c>
    </row>
    <row r="16" spans="1:18">
      <c r="A16">
        <v>15</v>
      </c>
      <c r="B16" s="8">
        <v>45379</v>
      </c>
      <c r="C16" t="s">
        <v>7</v>
      </c>
      <c r="D16" t="s">
        <v>50</v>
      </c>
      <c r="E16" t="s">
        <v>53</v>
      </c>
      <c r="F16" t="s">
        <v>48</v>
      </c>
      <c r="G16" t="s">
        <v>43</v>
      </c>
      <c r="H16" t="s">
        <v>44</v>
      </c>
      <c r="I16" t="s">
        <v>44</v>
      </c>
      <c r="J16" t="s">
        <v>49</v>
      </c>
      <c r="K16" s="9">
        <v>34</v>
      </c>
      <c r="L16" s="10">
        <f>IFERROR(VLOOKUP(C16,Parâmetros!$A$5:$D$7,IF(D16="Mensal",2,IF(D16="Trimestral",3,4)),0),0)</f>
        <v>149</v>
      </c>
      <c r="M16" s="10">
        <f>IF(G16="Sim",VLOOKUP("EA Play",Parâmetros!$A$11:$B$13,2,0),0)*K16</f>
        <v>169.66</v>
      </c>
      <c r="N16" s="10">
        <f>IF(H16="Sim",VLOOKUP("Minecraft Pass",Parâmetros!$A$11:$B$13,2,0),0)*K16</f>
        <v>0</v>
      </c>
      <c r="O16" s="10">
        <f>IF(I16="Sim",VLOOKUP("Call of Duty Pass",Parâmetros!$A$11:$B$13,2,0),0)*K16</f>
        <v>0</v>
      </c>
      <c r="P16" s="10">
        <f>(L16*K16+M16+N16+O16)*IF(F16="Promoção",1-Parâmetros!$B$22,1)</f>
        <v>5235.66</v>
      </c>
      <c r="Q16" s="10">
        <f>Parâmetros!$B$20*K16</f>
        <v>408</v>
      </c>
      <c r="R16" s="10">
        <f>P16-Q16</f>
        <v>4827.66</v>
      </c>
    </row>
    <row r="17" spans="1:18">
      <c r="A17">
        <v>16</v>
      </c>
      <c r="B17" s="8">
        <v>45913</v>
      </c>
      <c r="C17" t="s">
        <v>7</v>
      </c>
      <c r="D17" t="s">
        <v>46</v>
      </c>
      <c r="E17" t="s">
        <v>47</v>
      </c>
      <c r="F17" t="s">
        <v>52</v>
      </c>
      <c r="G17" t="s">
        <v>43</v>
      </c>
      <c r="H17" t="s">
        <v>43</v>
      </c>
      <c r="I17" t="s">
        <v>44</v>
      </c>
      <c r="J17" t="s">
        <v>45</v>
      </c>
      <c r="K17" s="9">
        <v>29</v>
      </c>
      <c r="L17" s="10">
        <f>IFERROR(VLOOKUP(C17,Parâmetros!$A$5:$D$7,IF(D17="Mensal",2,IF(D17="Trimestral",3,4)),0),0)</f>
        <v>14.99</v>
      </c>
      <c r="M17" s="10">
        <f>IF(G17="Sim",VLOOKUP("EA Play",Parâmetros!$A$11:$B$13,2,0),0)*K17</f>
        <v>144.71</v>
      </c>
      <c r="N17" s="10">
        <f>IF(H17="Sim",VLOOKUP("Minecraft Pass",Parâmetros!$A$11:$B$13,2,0),0)*K17</f>
        <v>115.71000000000001</v>
      </c>
      <c r="O17" s="10">
        <f>IF(I17="Sim",VLOOKUP("Call of Duty Pass",Parâmetros!$A$11:$B$13,2,0),0)*K17</f>
        <v>0</v>
      </c>
      <c r="P17" s="10">
        <f>(L17*K17+M17+N17+O17)*IF(F17="Promoção",1-Parâmetros!$B$22,1)</f>
        <v>695.13</v>
      </c>
      <c r="Q17" s="10">
        <f>Parâmetros!$B$20*K17</f>
        <v>348</v>
      </c>
      <c r="R17" s="10">
        <f>P17-Q17</f>
        <v>347.13</v>
      </c>
    </row>
    <row r="18" spans="1:18">
      <c r="A18">
        <v>17</v>
      </c>
      <c r="B18" s="8">
        <v>45821</v>
      </c>
      <c r="C18" t="s">
        <v>7</v>
      </c>
      <c r="D18" t="s">
        <v>46</v>
      </c>
      <c r="E18" t="s">
        <v>41</v>
      </c>
      <c r="F18" t="s">
        <v>42</v>
      </c>
      <c r="G18" t="s">
        <v>44</v>
      </c>
      <c r="H18" t="s">
        <v>44</v>
      </c>
      <c r="I18" t="s">
        <v>43</v>
      </c>
      <c r="J18" t="s">
        <v>45</v>
      </c>
      <c r="K18" s="9">
        <v>4</v>
      </c>
      <c r="L18" s="10">
        <f>IFERROR(VLOOKUP(C18,Parâmetros!$A$5:$D$7,IF(D18="Mensal",2,IF(D18="Trimestral",3,4)),0),0)</f>
        <v>14.99</v>
      </c>
      <c r="M18" s="10">
        <f>IF(G18="Sim",VLOOKUP("EA Play",Parâmetros!$A$11:$B$13,2,0),0)*K18</f>
        <v>0</v>
      </c>
      <c r="N18" s="10">
        <f>IF(H18="Sim",VLOOKUP("Minecraft Pass",Parâmetros!$A$11:$B$13,2,0),0)*K18</f>
        <v>0</v>
      </c>
      <c r="O18" s="10">
        <f>IF(I18="Sim",VLOOKUP("Call of Duty Pass",Parâmetros!$A$11:$B$13,2,0),0)*K18</f>
        <v>27.96</v>
      </c>
      <c r="P18" s="10">
        <f>(L18*K18+M18+N18+O18)*IF(F18="Promoção",1-Parâmetros!$B$22,1)</f>
        <v>87.92</v>
      </c>
      <c r="Q18" s="10">
        <f>Parâmetros!$B$20*K18</f>
        <v>48</v>
      </c>
      <c r="R18" s="10">
        <f>P18-Q18</f>
        <v>39.92</v>
      </c>
    </row>
    <row r="19" spans="1:18">
      <c r="A19">
        <v>18</v>
      </c>
      <c r="B19" s="8">
        <v>45526</v>
      </c>
      <c r="C19" t="s">
        <v>6</v>
      </c>
      <c r="D19" t="s">
        <v>46</v>
      </c>
      <c r="E19" t="s">
        <v>41</v>
      </c>
      <c r="F19" t="s">
        <v>48</v>
      </c>
      <c r="G19" t="s">
        <v>43</v>
      </c>
      <c r="H19" t="s">
        <v>44</v>
      </c>
      <c r="I19" t="s">
        <v>44</v>
      </c>
      <c r="J19" t="s">
        <v>45</v>
      </c>
      <c r="K19" s="9">
        <v>31</v>
      </c>
      <c r="L19" s="10">
        <f>IFERROR(VLOOKUP(C19,Parâmetros!$A$5:$D$7,IF(D19="Mensal",2,IF(D19="Trimestral",3,4)),0),0)</f>
        <v>9.99</v>
      </c>
      <c r="M19" s="10">
        <f>IF(G19="Sim",VLOOKUP("EA Play",Parâmetros!$A$11:$B$13,2,0),0)*K19</f>
        <v>154.69</v>
      </c>
      <c r="N19" s="10">
        <f>IF(H19="Sim",VLOOKUP("Minecraft Pass",Parâmetros!$A$11:$B$13,2,0),0)*K19</f>
        <v>0</v>
      </c>
      <c r="O19" s="10">
        <f>IF(I19="Sim",VLOOKUP("Call of Duty Pass",Parâmetros!$A$11:$B$13,2,0),0)*K19</f>
        <v>0</v>
      </c>
      <c r="P19" s="10">
        <f>(L19*K19+M19+N19+O19)*IF(F19="Promoção",1-Parâmetros!$B$22,1)</f>
        <v>464.38</v>
      </c>
      <c r="Q19" s="10">
        <f>Parâmetros!$B$20*K19</f>
        <v>372</v>
      </c>
      <c r="R19" s="10">
        <f>P19-Q19</f>
        <v>92.38</v>
      </c>
    </row>
    <row r="20" spans="1:18">
      <c r="A20">
        <v>19</v>
      </c>
      <c r="B20" s="8">
        <v>45540</v>
      </c>
      <c r="C20" t="s">
        <v>8</v>
      </c>
      <c r="D20" t="s">
        <v>50</v>
      </c>
      <c r="E20" t="s">
        <v>41</v>
      </c>
      <c r="F20" t="s">
        <v>42</v>
      </c>
      <c r="G20" t="s">
        <v>43</v>
      </c>
      <c r="H20" t="s">
        <v>44</v>
      </c>
      <c r="I20" t="s">
        <v>44</v>
      </c>
      <c r="J20" t="s">
        <v>45</v>
      </c>
      <c r="K20" s="9">
        <v>7</v>
      </c>
      <c r="L20" s="10">
        <f>IFERROR(VLOOKUP(C20,Parâmetros!$A$5:$D$7,IF(D20="Mensal",2,IF(D20="Trimestral",3,4)),0),0)</f>
        <v>219</v>
      </c>
      <c r="M20" s="10">
        <f>IF(G20="Sim",VLOOKUP("EA Play",Parâmetros!$A$11:$B$13,2,0),0)*K20</f>
        <v>34.93</v>
      </c>
      <c r="N20" s="10">
        <f>IF(H20="Sim",VLOOKUP("Minecraft Pass",Parâmetros!$A$11:$B$13,2,0),0)*K20</f>
        <v>0</v>
      </c>
      <c r="O20" s="10">
        <f>IF(I20="Sim",VLOOKUP("Call of Duty Pass",Parâmetros!$A$11:$B$13,2,0),0)*K20</f>
        <v>0</v>
      </c>
      <c r="P20" s="10">
        <f>(L20*K20+M20+N20+O20)*IF(F20="Promoção",1-Parâmetros!$B$22,1)</f>
        <v>1567.93</v>
      </c>
      <c r="Q20" s="10">
        <f>Parâmetros!$B$20*K20</f>
        <v>84</v>
      </c>
      <c r="R20" s="10">
        <f>P20-Q20</f>
        <v>1483.93</v>
      </c>
    </row>
    <row r="21" spans="1:18">
      <c r="A21">
        <v>20</v>
      </c>
      <c r="B21" s="8">
        <v>45354</v>
      </c>
      <c r="C21" t="s">
        <v>7</v>
      </c>
      <c r="D21" t="s">
        <v>46</v>
      </c>
      <c r="E21" t="s">
        <v>55</v>
      </c>
      <c r="F21" t="s">
        <v>42</v>
      </c>
      <c r="G21" t="s">
        <v>43</v>
      </c>
      <c r="H21" t="s">
        <v>44</v>
      </c>
      <c r="I21" t="s">
        <v>44</v>
      </c>
      <c r="J21" t="s">
        <v>49</v>
      </c>
      <c r="K21" s="9">
        <v>16</v>
      </c>
      <c r="L21" s="10">
        <f>IFERROR(VLOOKUP(C21,Parâmetros!$A$5:$D$7,IF(D21="Mensal",2,IF(D21="Trimestral",3,4)),0),0)</f>
        <v>14.99</v>
      </c>
      <c r="M21" s="10">
        <f>IF(G21="Sim",VLOOKUP("EA Play",Parâmetros!$A$11:$B$13,2,0),0)*K21</f>
        <v>79.84</v>
      </c>
      <c r="N21" s="10">
        <f>IF(H21="Sim",VLOOKUP("Minecraft Pass",Parâmetros!$A$11:$B$13,2,0),0)*K21</f>
        <v>0</v>
      </c>
      <c r="O21" s="10">
        <f>IF(I21="Sim",VLOOKUP("Call of Duty Pass",Parâmetros!$A$11:$B$13,2,0),0)*K21</f>
        <v>0</v>
      </c>
      <c r="P21" s="10">
        <f>(L21*K21+M21+N21+O21)*IF(F21="Promoção",1-Parâmetros!$B$22,1)</f>
        <v>319.68</v>
      </c>
      <c r="Q21" s="10">
        <f>Parâmetros!$B$20*K21</f>
        <v>192</v>
      </c>
      <c r="R21" s="10">
        <f>P21-Q21</f>
        <v>127.68</v>
      </c>
    </row>
    <row r="22" spans="1:18">
      <c r="A22">
        <v>21</v>
      </c>
      <c r="B22" s="8">
        <v>45369</v>
      </c>
      <c r="C22" t="s">
        <v>7</v>
      </c>
      <c r="D22" t="s">
        <v>50</v>
      </c>
      <c r="E22" t="s">
        <v>47</v>
      </c>
      <c r="F22" t="s">
        <v>42</v>
      </c>
      <c r="G22" t="s">
        <v>44</v>
      </c>
      <c r="H22" t="s">
        <v>44</v>
      </c>
      <c r="I22" t="s">
        <v>44</v>
      </c>
      <c r="J22" t="s">
        <v>45</v>
      </c>
      <c r="K22" s="9">
        <v>16</v>
      </c>
      <c r="L22" s="10">
        <f>IFERROR(VLOOKUP(C22,Parâmetros!$A$5:$D$7,IF(D22="Mensal",2,IF(D22="Trimestral",3,4)),0),0)</f>
        <v>149</v>
      </c>
      <c r="M22" s="10">
        <f>IF(G22="Sim",VLOOKUP("EA Play",Parâmetros!$A$11:$B$13,2,0),0)*K22</f>
        <v>0</v>
      </c>
      <c r="N22" s="10">
        <f>IF(H22="Sim",VLOOKUP("Minecraft Pass",Parâmetros!$A$11:$B$13,2,0),0)*K22</f>
        <v>0</v>
      </c>
      <c r="O22" s="10">
        <f>IF(I22="Sim",VLOOKUP("Call of Duty Pass",Parâmetros!$A$11:$B$13,2,0),0)*K22</f>
        <v>0</v>
      </c>
      <c r="P22" s="10">
        <f>(L22*K22+M22+N22+O22)*IF(F22="Promoção",1-Parâmetros!$B$22,1)</f>
        <v>2384</v>
      </c>
      <c r="Q22" s="10">
        <f>Parâmetros!$B$20*K22</f>
        <v>192</v>
      </c>
      <c r="R22" s="10">
        <f>P22-Q22</f>
        <v>2192</v>
      </c>
    </row>
    <row r="23" spans="1:18">
      <c r="A23">
        <v>22</v>
      </c>
      <c r="B23" s="8">
        <v>45462</v>
      </c>
      <c r="C23" t="s">
        <v>7</v>
      </c>
      <c r="D23" t="s">
        <v>46</v>
      </c>
      <c r="E23" t="s">
        <v>55</v>
      </c>
      <c r="F23" t="s">
        <v>54</v>
      </c>
      <c r="G23" t="s">
        <v>43</v>
      </c>
      <c r="H23" t="s">
        <v>43</v>
      </c>
      <c r="I23" t="s">
        <v>44</v>
      </c>
      <c r="J23" t="s">
        <v>45</v>
      </c>
      <c r="K23" s="9">
        <v>30</v>
      </c>
      <c r="L23" s="10">
        <f>IFERROR(VLOOKUP(C23,Parâmetros!$A$5:$D$7,IF(D23="Mensal",2,IF(D23="Trimestral",3,4)),0),0)</f>
        <v>14.99</v>
      </c>
      <c r="M23" s="10">
        <f>IF(G23="Sim",VLOOKUP("EA Play",Parâmetros!$A$11:$B$13,2,0),0)*K23</f>
        <v>149.70000000000002</v>
      </c>
      <c r="N23" s="10">
        <f>IF(H23="Sim",VLOOKUP("Minecraft Pass",Parâmetros!$A$11:$B$13,2,0),0)*K23</f>
        <v>119.7</v>
      </c>
      <c r="O23" s="10">
        <f>IF(I23="Sim",VLOOKUP("Call of Duty Pass",Parâmetros!$A$11:$B$13,2,0),0)*K23</f>
        <v>0</v>
      </c>
      <c r="P23" s="10">
        <f>(L23*K23+M23+N23+O23)*IF(F23="Promoção",1-Parâmetros!$B$22,1)</f>
        <v>647.19000000000005</v>
      </c>
      <c r="Q23" s="10">
        <f>Parâmetros!$B$20*K23</f>
        <v>360</v>
      </c>
      <c r="R23" s="10">
        <f>P23-Q23</f>
        <v>287.19000000000005</v>
      </c>
    </row>
    <row r="24" spans="1:18">
      <c r="A24">
        <v>23</v>
      </c>
      <c r="B24" s="8">
        <v>45584</v>
      </c>
      <c r="C24" t="s">
        <v>7</v>
      </c>
      <c r="D24" t="s">
        <v>50</v>
      </c>
      <c r="E24" t="s">
        <v>53</v>
      </c>
      <c r="F24" t="s">
        <v>48</v>
      </c>
      <c r="G24" t="s">
        <v>44</v>
      </c>
      <c r="H24" t="s">
        <v>43</v>
      </c>
      <c r="I24" t="s">
        <v>43</v>
      </c>
      <c r="J24" t="s">
        <v>45</v>
      </c>
      <c r="K24" s="9">
        <v>35</v>
      </c>
      <c r="L24" s="10">
        <f>IFERROR(VLOOKUP(C24,Parâmetros!$A$5:$D$7,IF(D24="Mensal",2,IF(D24="Trimestral",3,4)),0),0)</f>
        <v>149</v>
      </c>
      <c r="M24" s="10">
        <f>IF(G24="Sim",VLOOKUP("EA Play",Parâmetros!$A$11:$B$13,2,0),0)*K24</f>
        <v>0</v>
      </c>
      <c r="N24" s="10">
        <f>IF(H24="Sim",VLOOKUP("Minecraft Pass",Parâmetros!$A$11:$B$13,2,0),0)*K24</f>
        <v>139.65</v>
      </c>
      <c r="O24" s="10">
        <f>IF(I24="Sim",VLOOKUP("Call of Duty Pass",Parâmetros!$A$11:$B$13,2,0),0)*K24</f>
        <v>244.65</v>
      </c>
      <c r="P24" s="10">
        <f>(L24*K24+M24+N24+O24)*IF(F24="Promoção",1-Parâmetros!$B$22,1)</f>
        <v>5599.2999999999993</v>
      </c>
      <c r="Q24" s="10">
        <f>Parâmetros!$B$20*K24</f>
        <v>420</v>
      </c>
      <c r="R24" s="10">
        <f>P24-Q24</f>
        <v>5179.2999999999993</v>
      </c>
    </row>
    <row r="25" spans="1:18">
      <c r="A25">
        <v>24</v>
      </c>
      <c r="B25" s="8">
        <v>45354</v>
      </c>
      <c r="C25" t="s">
        <v>7</v>
      </c>
      <c r="D25" t="s">
        <v>46</v>
      </c>
      <c r="E25" t="s">
        <v>47</v>
      </c>
      <c r="F25" t="s">
        <v>48</v>
      </c>
      <c r="G25" t="s">
        <v>44</v>
      </c>
      <c r="H25" t="s">
        <v>43</v>
      </c>
      <c r="I25" t="s">
        <v>44</v>
      </c>
      <c r="J25" t="s">
        <v>49</v>
      </c>
      <c r="K25" s="9">
        <v>12</v>
      </c>
      <c r="L25" s="10">
        <f>IFERROR(VLOOKUP(C25,Parâmetros!$A$5:$D$7,IF(D25="Mensal",2,IF(D25="Trimestral",3,4)),0),0)</f>
        <v>14.99</v>
      </c>
      <c r="M25" s="10">
        <f>IF(G25="Sim",VLOOKUP("EA Play",Parâmetros!$A$11:$B$13,2,0),0)*K25</f>
        <v>0</v>
      </c>
      <c r="N25" s="10">
        <f>IF(H25="Sim",VLOOKUP("Minecraft Pass",Parâmetros!$A$11:$B$13,2,0),0)*K25</f>
        <v>47.88</v>
      </c>
      <c r="O25" s="10">
        <f>IF(I25="Sim",VLOOKUP("Call of Duty Pass",Parâmetros!$A$11:$B$13,2,0),0)*K25</f>
        <v>0</v>
      </c>
      <c r="P25" s="10">
        <f>(L25*K25+M25+N25+O25)*IF(F25="Promoção",1-Parâmetros!$B$22,1)</f>
        <v>227.76</v>
      </c>
      <c r="Q25" s="10">
        <f>Parâmetros!$B$20*K25</f>
        <v>144</v>
      </c>
      <c r="R25" s="10">
        <f>P25-Q25</f>
        <v>83.759999999999991</v>
      </c>
    </row>
    <row r="26" spans="1:18">
      <c r="A26">
        <v>25</v>
      </c>
      <c r="B26" s="8">
        <v>45362</v>
      </c>
      <c r="C26" t="s">
        <v>7</v>
      </c>
      <c r="D26" t="s">
        <v>40</v>
      </c>
      <c r="E26" t="s">
        <v>41</v>
      </c>
      <c r="F26" t="s">
        <v>42</v>
      </c>
      <c r="G26" t="s">
        <v>44</v>
      </c>
      <c r="H26" t="s">
        <v>43</v>
      </c>
      <c r="I26" t="s">
        <v>44</v>
      </c>
      <c r="J26" t="s">
        <v>45</v>
      </c>
      <c r="K26" s="9">
        <v>27</v>
      </c>
      <c r="L26" s="10">
        <f>IFERROR(VLOOKUP(C26,Parâmetros!$A$5:$D$7,IF(D26="Mensal",2,IF(D26="Trimestral",3,4)),0),0)</f>
        <v>40</v>
      </c>
      <c r="M26" s="10">
        <f>IF(G26="Sim",VLOOKUP("EA Play",Parâmetros!$A$11:$B$13,2,0),0)*K26</f>
        <v>0</v>
      </c>
      <c r="N26" s="10">
        <f>IF(H26="Sim",VLOOKUP("Minecraft Pass",Parâmetros!$A$11:$B$13,2,0),0)*K26</f>
        <v>107.73</v>
      </c>
      <c r="O26" s="10">
        <f>IF(I26="Sim",VLOOKUP("Call of Duty Pass",Parâmetros!$A$11:$B$13,2,0),0)*K26</f>
        <v>0</v>
      </c>
      <c r="P26" s="10">
        <f>(L26*K26+M26+N26+O26)*IF(F26="Promoção",1-Parâmetros!$B$22,1)</f>
        <v>1187.73</v>
      </c>
      <c r="Q26" s="10">
        <f>Parâmetros!$B$20*K26</f>
        <v>324</v>
      </c>
      <c r="R26" s="10">
        <f>P26-Q26</f>
        <v>863.73</v>
      </c>
    </row>
    <row r="27" spans="1:18">
      <c r="A27">
        <v>26</v>
      </c>
      <c r="B27" s="8">
        <v>45965</v>
      </c>
      <c r="C27" t="s">
        <v>7</v>
      </c>
      <c r="D27" t="s">
        <v>40</v>
      </c>
      <c r="E27" t="s">
        <v>55</v>
      </c>
      <c r="F27" t="s">
        <v>42</v>
      </c>
      <c r="G27" t="s">
        <v>44</v>
      </c>
      <c r="H27" t="s">
        <v>43</v>
      </c>
      <c r="I27" t="s">
        <v>44</v>
      </c>
      <c r="J27" t="s">
        <v>45</v>
      </c>
      <c r="K27" s="9">
        <v>20</v>
      </c>
      <c r="L27" s="10">
        <f>IFERROR(VLOOKUP(C27,Parâmetros!$A$5:$D$7,IF(D27="Mensal",2,IF(D27="Trimestral",3,4)),0),0)</f>
        <v>40</v>
      </c>
      <c r="M27" s="10">
        <f>IF(G27="Sim",VLOOKUP("EA Play",Parâmetros!$A$11:$B$13,2,0),0)*K27</f>
        <v>0</v>
      </c>
      <c r="N27" s="10">
        <f>IF(H27="Sim",VLOOKUP("Minecraft Pass",Parâmetros!$A$11:$B$13,2,0),0)*K27</f>
        <v>79.800000000000011</v>
      </c>
      <c r="O27" s="10">
        <f>IF(I27="Sim",VLOOKUP("Call of Duty Pass",Parâmetros!$A$11:$B$13,2,0),0)*K27</f>
        <v>0</v>
      </c>
      <c r="P27" s="10">
        <f>(L27*K27+M27+N27+O27)*IF(F27="Promoção",1-Parâmetros!$B$22,1)</f>
        <v>879.8</v>
      </c>
      <c r="Q27" s="10">
        <f>Parâmetros!$B$20*K27</f>
        <v>240</v>
      </c>
      <c r="R27" s="10">
        <f>P27-Q27</f>
        <v>639.79999999999995</v>
      </c>
    </row>
    <row r="28" spans="1:18">
      <c r="A28">
        <v>27</v>
      </c>
      <c r="B28" s="8">
        <v>45760</v>
      </c>
      <c r="C28" t="s">
        <v>6</v>
      </c>
      <c r="D28" t="s">
        <v>40</v>
      </c>
      <c r="E28" t="s">
        <v>41</v>
      </c>
      <c r="F28" t="s">
        <v>48</v>
      </c>
      <c r="G28" t="s">
        <v>44</v>
      </c>
      <c r="H28" t="s">
        <v>44</v>
      </c>
      <c r="I28" t="s">
        <v>43</v>
      </c>
      <c r="J28" t="s">
        <v>49</v>
      </c>
      <c r="K28" s="9">
        <v>17</v>
      </c>
      <c r="L28" s="10">
        <f>IFERROR(VLOOKUP(C28,Parâmetros!$A$5:$D$7,IF(D28="Mensal",2,IF(D28="Trimestral",3,4)),0),0)</f>
        <v>27</v>
      </c>
      <c r="M28" s="10">
        <f>IF(G28="Sim",VLOOKUP("EA Play",Parâmetros!$A$11:$B$13,2,0),0)*K28</f>
        <v>0</v>
      </c>
      <c r="N28" s="10">
        <f>IF(H28="Sim",VLOOKUP("Minecraft Pass",Parâmetros!$A$11:$B$13,2,0),0)*K28</f>
        <v>0</v>
      </c>
      <c r="O28" s="10">
        <f>IF(I28="Sim",VLOOKUP("Call of Duty Pass",Parâmetros!$A$11:$B$13,2,0),0)*K28</f>
        <v>118.83</v>
      </c>
      <c r="P28" s="10">
        <f>(L28*K28+M28+N28+O28)*IF(F28="Promoção",1-Parâmetros!$B$22,1)</f>
        <v>577.83000000000004</v>
      </c>
      <c r="Q28" s="10">
        <f>Parâmetros!$B$20*K28</f>
        <v>204</v>
      </c>
      <c r="R28" s="10">
        <f>P28-Q28</f>
        <v>373.83000000000004</v>
      </c>
    </row>
    <row r="29" spans="1:18">
      <c r="A29">
        <v>28</v>
      </c>
      <c r="B29" s="8">
        <v>45427</v>
      </c>
      <c r="C29" t="s">
        <v>8</v>
      </c>
      <c r="D29" t="s">
        <v>50</v>
      </c>
      <c r="E29" t="s">
        <v>55</v>
      </c>
      <c r="F29" t="s">
        <v>42</v>
      </c>
      <c r="G29" t="s">
        <v>43</v>
      </c>
      <c r="H29" t="s">
        <v>44</v>
      </c>
      <c r="I29" t="s">
        <v>44</v>
      </c>
      <c r="J29" t="s">
        <v>45</v>
      </c>
      <c r="K29" s="9">
        <v>34</v>
      </c>
      <c r="L29" s="10">
        <f>IFERROR(VLOOKUP(C29,Parâmetros!$A$5:$D$7,IF(D29="Mensal",2,IF(D29="Trimestral",3,4)),0),0)</f>
        <v>219</v>
      </c>
      <c r="M29" s="10">
        <f>IF(G29="Sim",VLOOKUP("EA Play",Parâmetros!$A$11:$B$13,2,0),0)*K29</f>
        <v>169.66</v>
      </c>
      <c r="N29" s="10">
        <f>IF(H29="Sim",VLOOKUP("Minecraft Pass",Parâmetros!$A$11:$B$13,2,0),0)*K29</f>
        <v>0</v>
      </c>
      <c r="O29" s="10">
        <f>IF(I29="Sim",VLOOKUP("Call of Duty Pass",Parâmetros!$A$11:$B$13,2,0),0)*K29</f>
        <v>0</v>
      </c>
      <c r="P29" s="10">
        <f>(L29*K29+M29+N29+O29)*IF(F29="Promoção",1-Parâmetros!$B$22,1)</f>
        <v>7615.66</v>
      </c>
      <c r="Q29" s="10">
        <f>Parâmetros!$B$20*K29</f>
        <v>408</v>
      </c>
      <c r="R29" s="10">
        <f>P29-Q29</f>
        <v>7207.66</v>
      </c>
    </row>
    <row r="30" spans="1:18">
      <c r="A30">
        <v>29</v>
      </c>
      <c r="B30" s="8">
        <v>45300</v>
      </c>
      <c r="C30" t="s">
        <v>7</v>
      </c>
      <c r="D30" t="s">
        <v>40</v>
      </c>
      <c r="E30" t="s">
        <v>55</v>
      </c>
      <c r="F30" t="s">
        <v>42</v>
      </c>
      <c r="G30" t="s">
        <v>44</v>
      </c>
      <c r="H30" t="s">
        <v>43</v>
      </c>
      <c r="I30" t="s">
        <v>44</v>
      </c>
      <c r="J30" t="s">
        <v>45</v>
      </c>
      <c r="K30" s="9">
        <v>10</v>
      </c>
      <c r="L30" s="10">
        <f>IFERROR(VLOOKUP(C30,Parâmetros!$A$5:$D$7,IF(D30="Mensal",2,IF(D30="Trimestral",3,4)),0),0)</f>
        <v>40</v>
      </c>
      <c r="M30" s="10">
        <f>IF(G30="Sim",VLOOKUP("EA Play",Parâmetros!$A$11:$B$13,2,0),0)*K30</f>
        <v>0</v>
      </c>
      <c r="N30" s="10">
        <f>IF(H30="Sim",VLOOKUP("Minecraft Pass",Parâmetros!$A$11:$B$13,2,0),0)*K30</f>
        <v>39.900000000000006</v>
      </c>
      <c r="O30" s="10">
        <f>IF(I30="Sim",VLOOKUP("Call of Duty Pass",Parâmetros!$A$11:$B$13,2,0),0)*K30</f>
        <v>0</v>
      </c>
      <c r="P30" s="10">
        <f>(L30*K30+M30+N30+O30)*IF(F30="Promoção",1-Parâmetros!$B$22,1)</f>
        <v>439.9</v>
      </c>
      <c r="Q30" s="10">
        <f>Parâmetros!$B$20*K30</f>
        <v>120</v>
      </c>
      <c r="R30" s="10">
        <f>P30-Q30</f>
        <v>319.89999999999998</v>
      </c>
    </row>
    <row r="31" spans="1:18">
      <c r="A31">
        <v>30</v>
      </c>
      <c r="B31" s="8">
        <v>45570</v>
      </c>
      <c r="C31" t="s">
        <v>6</v>
      </c>
      <c r="D31" t="s">
        <v>46</v>
      </c>
      <c r="E31" t="s">
        <v>41</v>
      </c>
      <c r="F31" t="s">
        <v>52</v>
      </c>
      <c r="G31" t="s">
        <v>44</v>
      </c>
      <c r="H31" t="s">
        <v>44</v>
      </c>
      <c r="I31" t="s">
        <v>43</v>
      </c>
      <c r="J31" t="s">
        <v>45</v>
      </c>
      <c r="K31" s="9">
        <v>4</v>
      </c>
      <c r="L31" s="10">
        <f>IFERROR(VLOOKUP(C31,Parâmetros!$A$5:$D$7,IF(D31="Mensal",2,IF(D31="Trimestral",3,4)),0),0)</f>
        <v>9.99</v>
      </c>
      <c r="M31" s="10">
        <f>IF(G31="Sim",VLOOKUP("EA Play",Parâmetros!$A$11:$B$13,2,0),0)*K31</f>
        <v>0</v>
      </c>
      <c r="N31" s="10">
        <f>IF(H31="Sim",VLOOKUP("Minecraft Pass",Parâmetros!$A$11:$B$13,2,0),0)*K31</f>
        <v>0</v>
      </c>
      <c r="O31" s="10">
        <f>IF(I31="Sim",VLOOKUP("Call of Duty Pass",Parâmetros!$A$11:$B$13,2,0),0)*K31</f>
        <v>27.96</v>
      </c>
      <c r="P31" s="10">
        <f>(L31*K31+M31+N31+O31)*IF(F31="Promoção",1-Parâmetros!$B$22,1)</f>
        <v>67.92</v>
      </c>
      <c r="Q31" s="10">
        <f>Parâmetros!$B$20*K31</f>
        <v>48</v>
      </c>
      <c r="R31" s="10">
        <f>P31-Q31</f>
        <v>19.920000000000002</v>
      </c>
    </row>
    <row r="32" spans="1:18">
      <c r="A32">
        <v>31</v>
      </c>
      <c r="B32" s="8">
        <v>45386</v>
      </c>
      <c r="C32" t="s">
        <v>7</v>
      </c>
      <c r="D32" t="s">
        <v>50</v>
      </c>
      <c r="E32" t="s">
        <v>41</v>
      </c>
      <c r="F32" t="s">
        <v>42</v>
      </c>
      <c r="G32" t="s">
        <v>43</v>
      </c>
      <c r="H32" t="s">
        <v>44</v>
      </c>
      <c r="I32" t="s">
        <v>43</v>
      </c>
      <c r="J32" t="s">
        <v>49</v>
      </c>
      <c r="K32" s="9">
        <v>28</v>
      </c>
      <c r="L32" s="10">
        <f>IFERROR(VLOOKUP(C32,Parâmetros!$A$5:$D$7,IF(D32="Mensal",2,IF(D32="Trimestral",3,4)),0),0)</f>
        <v>149</v>
      </c>
      <c r="M32" s="10">
        <f>IF(G32="Sim",VLOOKUP("EA Play",Parâmetros!$A$11:$B$13,2,0),0)*K32</f>
        <v>139.72</v>
      </c>
      <c r="N32" s="10">
        <f>IF(H32="Sim",VLOOKUP("Minecraft Pass",Parâmetros!$A$11:$B$13,2,0),0)*K32</f>
        <v>0</v>
      </c>
      <c r="O32" s="10">
        <f>IF(I32="Sim",VLOOKUP("Call of Duty Pass",Parâmetros!$A$11:$B$13,2,0),0)*K32</f>
        <v>195.72</v>
      </c>
      <c r="P32" s="10">
        <f>(L32*K32+M32+N32+O32)*IF(F32="Promoção",1-Parâmetros!$B$22,1)</f>
        <v>4507.4400000000005</v>
      </c>
      <c r="Q32" s="10">
        <f>Parâmetros!$B$20*K32</f>
        <v>336</v>
      </c>
      <c r="R32" s="10">
        <f>P32-Q32</f>
        <v>4171.4400000000005</v>
      </c>
    </row>
    <row r="33" spans="1:18">
      <c r="A33">
        <v>32</v>
      </c>
      <c r="B33" s="8">
        <v>45866</v>
      </c>
      <c r="C33" t="s">
        <v>6</v>
      </c>
      <c r="D33" t="s">
        <v>46</v>
      </c>
      <c r="E33" t="s">
        <v>55</v>
      </c>
      <c r="F33" t="s">
        <v>54</v>
      </c>
      <c r="G33" t="s">
        <v>44</v>
      </c>
      <c r="H33" t="s">
        <v>44</v>
      </c>
      <c r="I33" t="s">
        <v>44</v>
      </c>
      <c r="J33" t="s">
        <v>49</v>
      </c>
      <c r="K33" s="9">
        <v>9</v>
      </c>
      <c r="L33" s="10">
        <f>IFERROR(VLOOKUP(C33,Parâmetros!$A$5:$D$7,IF(D33="Mensal",2,IF(D33="Trimestral",3,4)),0),0)</f>
        <v>9.99</v>
      </c>
      <c r="M33" s="10">
        <f>IF(G33="Sim",VLOOKUP("EA Play",Parâmetros!$A$11:$B$13,2,0),0)*K33</f>
        <v>0</v>
      </c>
      <c r="N33" s="10">
        <f>IF(H33="Sim",VLOOKUP("Minecraft Pass",Parâmetros!$A$11:$B$13,2,0),0)*K33</f>
        <v>0</v>
      </c>
      <c r="O33" s="10">
        <f>IF(I33="Sim",VLOOKUP("Call of Duty Pass",Parâmetros!$A$11:$B$13,2,0),0)*K33</f>
        <v>0</v>
      </c>
      <c r="P33" s="10">
        <f>(L33*K33+M33+N33+O33)*IF(F33="Promoção",1-Parâmetros!$B$22,1)</f>
        <v>80.918999999999997</v>
      </c>
      <c r="Q33" s="10">
        <f>Parâmetros!$B$20*K33</f>
        <v>108</v>
      </c>
      <c r="R33" s="10">
        <f>P33-Q33</f>
        <v>-27.081000000000003</v>
      </c>
    </row>
    <row r="34" spans="1:18">
      <c r="A34">
        <v>33</v>
      </c>
      <c r="B34" s="8">
        <v>45334</v>
      </c>
      <c r="C34" t="s">
        <v>6</v>
      </c>
      <c r="D34" t="s">
        <v>50</v>
      </c>
      <c r="E34" t="s">
        <v>51</v>
      </c>
      <c r="F34" t="s">
        <v>54</v>
      </c>
      <c r="G34" t="s">
        <v>44</v>
      </c>
      <c r="H34" t="s">
        <v>43</v>
      </c>
      <c r="I34" t="s">
        <v>43</v>
      </c>
      <c r="J34" t="s">
        <v>49</v>
      </c>
      <c r="K34" s="9">
        <v>27</v>
      </c>
      <c r="L34" s="10">
        <f>IFERROR(VLOOKUP(C34,Parâmetros!$A$5:$D$7,IF(D34="Mensal",2,IF(D34="Trimestral",3,4)),0),0)</f>
        <v>99</v>
      </c>
      <c r="M34" s="10">
        <f>IF(G34="Sim",VLOOKUP("EA Play",Parâmetros!$A$11:$B$13,2,0),0)*K34</f>
        <v>0</v>
      </c>
      <c r="N34" s="10">
        <f>IF(H34="Sim",VLOOKUP("Minecraft Pass",Parâmetros!$A$11:$B$13,2,0),0)*K34</f>
        <v>107.73</v>
      </c>
      <c r="O34" s="10">
        <f>IF(I34="Sim",VLOOKUP("Call of Duty Pass",Parâmetros!$A$11:$B$13,2,0),0)*K34</f>
        <v>188.73000000000002</v>
      </c>
      <c r="P34" s="10">
        <f>(L34*K34+M34+N34+O34)*IF(F34="Promoção",1-Parâmetros!$B$22,1)</f>
        <v>2672.5140000000001</v>
      </c>
      <c r="Q34" s="10">
        <f>Parâmetros!$B$20*K34</f>
        <v>324</v>
      </c>
      <c r="R34" s="10">
        <f>P34-Q34</f>
        <v>2348.5140000000001</v>
      </c>
    </row>
    <row r="35" spans="1:18">
      <c r="A35">
        <v>34</v>
      </c>
      <c r="B35" s="8">
        <v>45927</v>
      </c>
      <c r="C35" t="s">
        <v>7</v>
      </c>
      <c r="D35" t="s">
        <v>50</v>
      </c>
      <c r="E35" t="s">
        <v>41</v>
      </c>
      <c r="F35" t="s">
        <v>42</v>
      </c>
      <c r="G35" t="s">
        <v>44</v>
      </c>
      <c r="H35" t="s">
        <v>43</v>
      </c>
      <c r="I35" t="s">
        <v>44</v>
      </c>
      <c r="J35" t="s">
        <v>49</v>
      </c>
      <c r="K35" s="9">
        <v>22</v>
      </c>
      <c r="L35" s="10">
        <f>IFERROR(VLOOKUP(C35,Parâmetros!$A$5:$D$7,IF(D35="Mensal",2,IF(D35="Trimestral",3,4)),0),0)</f>
        <v>149</v>
      </c>
      <c r="M35" s="10">
        <f>IF(G35="Sim",VLOOKUP("EA Play",Parâmetros!$A$11:$B$13,2,0),0)*K35</f>
        <v>0</v>
      </c>
      <c r="N35" s="10">
        <f>IF(H35="Sim",VLOOKUP("Minecraft Pass",Parâmetros!$A$11:$B$13,2,0),0)*K35</f>
        <v>87.78</v>
      </c>
      <c r="O35" s="10">
        <f>IF(I35="Sim",VLOOKUP("Call of Duty Pass",Parâmetros!$A$11:$B$13,2,0),0)*K35</f>
        <v>0</v>
      </c>
      <c r="P35" s="10">
        <f>(L35*K35+M35+N35+O35)*IF(F35="Promoção",1-Parâmetros!$B$22,1)</f>
        <v>3365.78</v>
      </c>
      <c r="Q35" s="10">
        <f>Parâmetros!$B$20*K35</f>
        <v>264</v>
      </c>
      <c r="R35" s="10">
        <f>P35-Q35</f>
        <v>3101.78</v>
      </c>
    </row>
    <row r="36" spans="1:18">
      <c r="A36">
        <v>35</v>
      </c>
      <c r="B36" s="8">
        <v>45713</v>
      </c>
      <c r="C36" t="s">
        <v>8</v>
      </c>
      <c r="D36" t="s">
        <v>50</v>
      </c>
      <c r="E36" t="s">
        <v>51</v>
      </c>
      <c r="F36" t="s">
        <v>42</v>
      </c>
      <c r="G36" t="s">
        <v>44</v>
      </c>
      <c r="H36" t="s">
        <v>43</v>
      </c>
      <c r="I36" t="s">
        <v>44</v>
      </c>
      <c r="J36" t="s">
        <v>45</v>
      </c>
      <c r="K36" s="9">
        <v>15</v>
      </c>
      <c r="L36" s="10">
        <f>IFERROR(VLOOKUP(C36,Parâmetros!$A$5:$D$7,IF(D36="Mensal",2,IF(D36="Trimestral",3,4)),0),0)</f>
        <v>219</v>
      </c>
      <c r="M36" s="10">
        <f>IF(G36="Sim",VLOOKUP("EA Play",Parâmetros!$A$11:$B$13,2,0),0)*K36</f>
        <v>0</v>
      </c>
      <c r="N36" s="10">
        <f>IF(H36="Sim",VLOOKUP("Minecraft Pass",Parâmetros!$A$11:$B$13,2,0),0)*K36</f>
        <v>59.85</v>
      </c>
      <c r="O36" s="10">
        <f>IF(I36="Sim",VLOOKUP("Call of Duty Pass",Parâmetros!$A$11:$B$13,2,0),0)*K36</f>
        <v>0</v>
      </c>
      <c r="P36" s="10">
        <f>(L36*K36+M36+N36+O36)*IF(F36="Promoção",1-Parâmetros!$B$22,1)</f>
        <v>3344.85</v>
      </c>
      <c r="Q36" s="10">
        <f>Parâmetros!$B$20*K36</f>
        <v>180</v>
      </c>
      <c r="R36" s="10">
        <f>P36-Q36</f>
        <v>3164.85</v>
      </c>
    </row>
    <row r="37" spans="1:18">
      <c r="A37">
        <v>36</v>
      </c>
      <c r="B37" s="8">
        <v>45496</v>
      </c>
      <c r="C37" t="s">
        <v>8</v>
      </c>
      <c r="D37" t="s">
        <v>46</v>
      </c>
      <c r="E37" t="s">
        <v>41</v>
      </c>
      <c r="F37" t="s">
        <v>52</v>
      </c>
      <c r="G37" t="s">
        <v>43</v>
      </c>
      <c r="H37" t="s">
        <v>43</v>
      </c>
      <c r="I37" t="s">
        <v>43</v>
      </c>
      <c r="J37" t="s">
        <v>49</v>
      </c>
      <c r="K37" s="9">
        <v>5</v>
      </c>
      <c r="L37" s="10">
        <f>IFERROR(VLOOKUP(C37,Parâmetros!$A$5:$D$7,IF(D37="Mensal",2,IF(D37="Trimestral",3,4)),0),0)</f>
        <v>21.99</v>
      </c>
      <c r="M37" s="10">
        <f>IF(G37="Sim",VLOOKUP("EA Play",Parâmetros!$A$11:$B$13,2,0),0)*K37</f>
        <v>24.950000000000003</v>
      </c>
      <c r="N37" s="10">
        <f>IF(H37="Sim",VLOOKUP("Minecraft Pass",Parâmetros!$A$11:$B$13,2,0),0)*K37</f>
        <v>19.950000000000003</v>
      </c>
      <c r="O37" s="10">
        <f>IF(I37="Sim",VLOOKUP("Call of Duty Pass",Parâmetros!$A$11:$B$13,2,0),0)*K37</f>
        <v>34.950000000000003</v>
      </c>
      <c r="P37" s="10">
        <f>(L37*K37+M37+N37+O37)*IF(F37="Promoção",1-Parâmetros!$B$22,1)</f>
        <v>189.79999999999995</v>
      </c>
      <c r="Q37" s="10">
        <f>Parâmetros!$B$20*K37</f>
        <v>60</v>
      </c>
      <c r="R37" s="10">
        <f>P37-Q37</f>
        <v>129.79999999999995</v>
      </c>
    </row>
    <row r="38" spans="1:18">
      <c r="A38">
        <v>37</v>
      </c>
      <c r="B38" s="8">
        <v>45577</v>
      </c>
      <c r="C38" t="s">
        <v>6</v>
      </c>
      <c r="D38" t="s">
        <v>40</v>
      </c>
      <c r="E38" t="s">
        <v>51</v>
      </c>
      <c r="F38" t="s">
        <v>54</v>
      </c>
      <c r="G38" t="s">
        <v>43</v>
      </c>
      <c r="H38" t="s">
        <v>43</v>
      </c>
      <c r="I38" t="s">
        <v>44</v>
      </c>
      <c r="J38" t="s">
        <v>49</v>
      </c>
      <c r="K38" s="9">
        <v>17</v>
      </c>
      <c r="L38" s="10">
        <f>IFERROR(VLOOKUP(C38,Parâmetros!$A$5:$D$7,IF(D38="Mensal",2,IF(D38="Trimestral",3,4)),0),0)</f>
        <v>27</v>
      </c>
      <c r="M38" s="10">
        <f>IF(G38="Sim",VLOOKUP("EA Play",Parâmetros!$A$11:$B$13,2,0),0)*K38</f>
        <v>84.83</v>
      </c>
      <c r="N38" s="10">
        <f>IF(H38="Sim",VLOOKUP("Minecraft Pass",Parâmetros!$A$11:$B$13,2,0),0)*K38</f>
        <v>67.83</v>
      </c>
      <c r="O38" s="10">
        <f>IF(I38="Sim",VLOOKUP("Call of Duty Pass",Parâmetros!$A$11:$B$13,2,0),0)*K38</f>
        <v>0</v>
      </c>
      <c r="P38" s="10">
        <f>(L38*K38+M38+N38+O38)*IF(F38="Promoção",1-Parâmetros!$B$22,1)</f>
        <v>550.49400000000014</v>
      </c>
      <c r="Q38" s="10">
        <f>Parâmetros!$B$20*K38</f>
        <v>204</v>
      </c>
      <c r="R38" s="10">
        <f>P38-Q38</f>
        <v>346.49400000000014</v>
      </c>
    </row>
    <row r="39" spans="1:18">
      <c r="A39">
        <v>38</v>
      </c>
      <c r="B39" s="8">
        <v>45331</v>
      </c>
      <c r="C39" t="s">
        <v>6</v>
      </c>
      <c r="D39" t="s">
        <v>46</v>
      </c>
      <c r="E39" t="s">
        <v>51</v>
      </c>
      <c r="F39" t="s">
        <v>42</v>
      </c>
      <c r="G39" t="s">
        <v>44</v>
      </c>
      <c r="H39" t="s">
        <v>44</v>
      </c>
      <c r="I39" t="s">
        <v>44</v>
      </c>
      <c r="J39" t="s">
        <v>45</v>
      </c>
      <c r="K39" s="9">
        <v>17</v>
      </c>
      <c r="L39" s="10">
        <f>IFERROR(VLOOKUP(C39,Parâmetros!$A$5:$D$7,IF(D39="Mensal",2,IF(D39="Trimestral",3,4)),0),0)</f>
        <v>9.99</v>
      </c>
      <c r="M39" s="10">
        <f>IF(G39="Sim",VLOOKUP("EA Play",Parâmetros!$A$11:$B$13,2,0),0)*K39</f>
        <v>0</v>
      </c>
      <c r="N39" s="10">
        <f>IF(H39="Sim",VLOOKUP("Minecraft Pass",Parâmetros!$A$11:$B$13,2,0),0)*K39</f>
        <v>0</v>
      </c>
      <c r="O39" s="10">
        <f>IF(I39="Sim",VLOOKUP("Call of Duty Pass",Parâmetros!$A$11:$B$13,2,0),0)*K39</f>
        <v>0</v>
      </c>
      <c r="P39" s="10">
        <f>(L39*K39+M39+N39+O39)*IF(F39="Promoção",1-Parâmetros!$B$22,1)</f>
        <v>169.83</v>
      </c>
      <c r="Q39" s="10">
        <f>Parâmetros!$B$20*K39</f>
        <v>204</v>
      </c>
      <c r="R39" s="10">
        <f>P39-Q39</f>
        <v>-34.169999999999987</v>
      </c>
    </row>
    <row r="40" spans="1:18">
      <c r="A40">
        <v>39</v>
      </c>
      <c r="B40" s="8">
        <v>45337</v>
      </c>
      <c r="C40" t="s">
        <v>7</v>
      </c>
      <c r="D40" t="s">
        <v>46</v>
      </c>
      <c r="E40" t="s">
        <v>55</v>
      </c>
      <c r="F40" t="s">
        <v>48</v>
      </c>
      <c r="G40" t="s">
        <v>44</v>
      </c>
      <c r="H40" t="s">
        <v>44</v>
      </c>
      <c r="I40" t="s">
        <v>44</v>
      </c>
      <c r="J40" t="s">
        <v>49</v>
      </c>
      <c r="K40" s="9">
        <v>5</v>
      </c>
      <c r="L40" s="10">
        <f>IFERROR(VLOOKUP(C40,Parâmetros!$A$5:$D$7,IF(D40="Mensal",2,IF(D40="Trimestral",3,4)),0),0)</f>
        <v>14.99</v>
      </c>
      <c r="M40" s="10">
        <f>IF(G40="Sim",VLOOKUP("EA Play",Parâmetros!$A$11:$B$13,2,0),0)*K40</f>
        <v>0</v>
      </c>
      <c r="N40" s="10">
        <f>IF(H40="Sim",VLOOKUP("Minecraft Pass",Parâmetros!$A$11:$B$13,2,0),0)*K40</f>
        <v>0</v>
      </c>
      <c r="O40" s="10">
        <f>IF(I40="Sim",VLOOKUP("Call of Duty Pass",Parâmetros!$A$11:$B$13,2,0),0)*K40</f>
        <v>0</v>
      </c>
      <c r="P40" s="10">
        <f>(L40*K40+M40+N40+O40)*IF(F40="Promoção",1-Parâmetros!$B$22,1)</f>
        <v>74.95</v>
      </c>
      <c r="Q40" s="10">
        <f>Parâmetros!$B$20*K40</f>
        <v>60</v>
      </c>
      <c r="R40" s="10">
        <f>P40-Q40</f>
        <v>14.950000000000003</v>
      </c>
    </row>
    <row r="41" spans="1:18">
      <c r="A41">
        <v>40</v>
      </c>
      <c r="B41" s="8">
        <v>45972</v>
      </c>
      <c r="C41" t="s">
        <v>8</v>
      </c>
      <c r="D41" t="s">
        <v>40</v>
      </c>
      <c r="E41" t="s">
        <v>51</v>
      </c>
      <c r="F41" t="s">
        <v>42</v>
      </c>
      <c r="G41" t="s">
        <v>44</v>
      </c>
      <c r="H41" t="s">
        <v>44</v>
      </c>
      <c r="I41" t="s">
        <v>44</v>
      </c>
      <c r="J41" t="s">
        <v>49</v>
      </c>
      <c r="K41" s="9">
        <v>19</v>
      </c>
      <c r="L41" s="10">
        <f>IFERROR(VLOOKUP(C41,Parâmetros!$A$5:$D$7,IF(D41="Mensal",2,IF(D41="Trimestral",3,4)),0),0)</f>
        <v>59</v>
      </c>
      <c r="M41" s="10">
        <f>IF(G41="Sim",VLOOKUP("EA Play",Parâmetros!$A$11:$B$13,2,0),0)*K41</f>
        <v>0</v>
      </c>
      <c r="N41" s="10">
        <f>IF(H41="Sim",VLOOKUP("Minecraft Pass",Parâmetros!$A$11:$B$13,2,0),0)*K41</f>
        <v>0</v>
      </c>
      <c r="O41" s="10">
        <f>IF(I41="Sim",VLOOKUP("Call of Duty Pass",Parâmetros!$A$11:$B$13,2,0),0)*K41</f>
        <v>0</v>
      </c>
      <c r="P41" s="10">
        <f>(L41*K41+M41+N41+O41)*IF(F41="Promoção",1-Parâmetros!$B$22,1)</f>
        <v>1121</v>
      </c>
      <c r="Q41" s="10">
        <f>Parâmetros!$B$20*K41</f>
        <v>228</v>
      </c>
      <c r="R41" s="10">
        <f>P41-Q41</f>
        <v>893</v>
      </c>
    </row>
    <row r="42" spans="1:18">
      <c r="A42">
        <v>41</v>
      </c>
      <c r="B42" s="8">
        <v>45859</v>
      </c>
      <c r="C42" t="s">
        <v>6</v>
      </c>
      <c r="D42" t="s">
        <v>46</v>
      </c>
      <c r="E42" t="s">
        <v>53</v>
      </c>
      <c r="F42" t="s">
        <v>52</v>
      </c>
      <c r="G42" t="s">
        <v>44</v>
      </c>
      <c r="H42" t="s">
        <v>44</v>
      </c>
      <c r="I42" t="s">
        <v>44</v>
      </c>
      <c r="J42" t="s">
        <v>49</v>
      </c>
      <c r="K42" s="9">
        <v>1</v>
      </c>
      <c r="L42" s="10">
        <f>IFERROR(VLOOKUP(C42,Parâmetros!$A$5:$D$7,IF(D42="Mensal",2,IF(D42="Trimestral",3,4)),0),0)</f>
        <v>9.99</v>
      </c>
      <c r="M42" s="10">
        <f>IF(G42="Sim",VLOOKUP("EA Play",Parâmetros!$A$11:$B$13,2,0),0)*K42</f>
        <v>0</v>
      </c>
      <c r="N42" s="10">
        <f>IF(H42="Sim",VLOOKUP("Minecraft Pass",Parâmetros!$A$11:$B$13,2,0),0)*K42</f>
        <v>0</v>
      </c>
      <c r="O42" s="10">
        <f>IF(I42="Sim",VLOOKUP("Call of Duty Pass",Parâmetros!$A$11:$B$13,2,0),0)*K42</f>
        <v>0</v>
      </c>
      <c r="P42" s="10">
        <f>(L42*K42+M42+N42+O42)*IF(F42="Promoção",1-Parâmetros!$B$22,1)</f>
        <v>9.99</v>
      </c>
      <c r="Q42" s="10">
        <f>Parâmetros!$B$20*K42</f>
        <v>12</v>
      </c>
      <c r="R42" s="10">
        <f>P42-Q42</f>
        <v>-2.0099999999999998</v>
      </c>
    </row>
    <row r="43" spans="1:18">
      <c r="A43">
        <v>42</v>
      </c>
      <c r="B43" s="8">
        <v>45603</v>
      </c>
      <c r="C43" t="s">
        <v>6</v>
      </c>
      <c r="D43" t="s">
        <v>46</v>
      </c>
      <c r="E43" t="s">
        <v>47</v>
      </c>
      <c r="F43" t="s">
        <v>52</v>
      </c>
      <c r="G43" t="s">
        <v>44</v>
      </c>
      <c r="H43" t="s">
        <v>44</v>
      </c>
      <c r="I43" t="s">
        <v>43</v>
      </c>
      <c r="J43" t="s">
        <v>49</v>
      </c>
      <c r="K43" s="9">
        <v>11</v>
      </c>
      <c r="L43" s="10">
        <f>IFERROR(VLOOKUP(C43,Parâmetros!$A$5:$D$7,IF(D43="Mensal",2,IF(D43="Trimestral",3,4)),0),0)</f>
        <v>9.99</v>
      </c>
      <c r="M43" s="10">
        <f>IF(G43="Sim",VLOOKUP("EA Play",Parâmetros!$A$11:$B$13,2,0),0)*K43</f>
        <v>0</v>
      </c>
      <c r="N43" s="10">
        <f>IF(H43="Sim",VLOOKUP("Minecraft Pass",Parâmetros!$A$11:$B$13,2,0),0)*K43</f>
        <v>0</v>
      </c>
      <c r="O43" s="10">
        <f>IF(I43="Sim",VLOOKUP("Call of Duty Pass",Parâmetros!$A$11:$B$13,2,0),0)*K43</f>
        <v>76.89</v>
      </c>
      <c r="P43" s="10">
        <f>(L43*K43+M43+N43+O43)*IF(F43="Promoção",1-Parâmetros!$B$22,1)</f>
        <v>186.78</v>
      </c>
      <c r="Q43" s="10">
        <f>Parâmetros!$B$20*K43</f>
        <v>132</v>
      </c>
      <c r="R43" s="10">
        <f>P43-Q43</f>
        <v>54.78</v>
      </c>
    </row>
    <row r="44" spans="1:18">
      <c r="A44">
        <v>43</v>
      </c>
      <c r="B44" s="8">
        <v>45966</v>
      </c>
      <c r="C44" t="s">
        <v>6</v>
      </c>
      <c r="D44" t="s">
        <v>40</v>
      </c>
      <c r="E44" t="s">
        <v>47</v>
      </c>
      <c r="F44" t="s">
        <v>42</v>
      </c>
      <c r="G44" t="s">
        <v>44</v>
      </c>
      <c r="H44" t="s">
        <v>44</v>
      </c>
      <c r="I44" t="s">
        <v>44</v>
      </c>
      <c r="J44" t="s">
        <v>49</v>
      </c>
      <c r="K44" s="9">
        <v>13</v>
      </c>
      <c r="L44" s="10">
        <f>IFERROR(VLOOKUP(C44,Parâmetros!$A$5:$D$7,IF(D44="Mensal",2,IF(D44="Trimestral",3,4)),0),0)</f>
        <v>27</v>
      </c>
      <c r="M44" s="10">
        <f>IF(G44="Sim",VLOOKUP("EA Play",Parâmetros!$A$11:$B$13,2,0),0)*K44</f>
        <v>0</v>
      </c>
      <c r="N44" s="10">
        <f>IF(H44="Sim",VLOOKUP("Minecraft Pass",Parâmetros!$A$11:$B$13,2,0),0)*K44</f>
        <v>0</v>
      </c>
      <c r="O44" s="10">
        <f>IF(I44="Sim",VLOOKUP("Call of Duty Pass",Parâmetros!$A$11:$B$13,2,0),0)*K44</f>
        <v>0</v>
      </c>
      <c r="P44" s="10">
        <f>(L44*K44+M44+N44+O44)*IF(F44="Promoção",1-Parâmetros!$B$22,1)</f>
        <v>351</v>
      </c>
      <c r="Q44" s="10">
        <f>Parâmetros!$B$20*K44</f>
        <v>156</v>
      </c>
      <c r="R44" s="10">
        <f>P44-Q44</f>
        <v>195</v>
      </c>
    </row>
    <row r="45" spans="1:18">
      <c r="A45">
        <v>44</v>
      </c>
      <c r="B45" s="8">
        <v>45442</v>
      </c>
      <c r="C45" t="s">
        <v>6</v>
      </c>
      <c r="D45" t="s">
        <v>46</v>
      </c>
      <c r="E45" t="s">
        <v>47</v>
      </c>
      <c r="F45" t="s">
        <v>54</v>
      </c>
      <c r="G45" t="s">
        <v>43</v>
      </c>
      <c r="H45" t="s">
        <v>44</v>
      </c>
      <c r="I45" t="s">
        <v>44</v>
      </c>
      <c r="J45" t="s">
        <v>49</v>
      </c>
      <c r="K45" s="9">
        <v>25</v>
      </c>
      <c r="L45" s="10">
        <f>IFERROR(VLOOKUP(C45,Parâmetros!$A$5:$D$7,IF(D45="Mensal",2,IF(D45="Trimestral",3,4)),0),0)</f>
        <v>9.99</v>
      </c>
      <c r="M45" s="10">
        <f>IF(G45="Sim",VLOOKUP("EA Play",Parâmetros!$A$11:$B$13,2,0),0)*K45</f>
        <v>124.75</v>
      </c>
      <c r="N45" s="10">
        <f>IF(H45="Sim",VLOOKUP("Minecraft Pass",Parâmetros!$A$11:$B$13,2,0),0)*K45</f>
        <v>0</v>
      </c>
      <c r="O45" s="10">
        <f>IF(I45="Sim",VLOOKUP("Call of Duty Pass",Parâmetros!$A$11:$B$13,2,0),0)*K45</f>
        <v>0</v>
      </c>
      <c r="P45" s="10">
        <f>(L45*K45+M45+N45+O45)*IF(F45="Promoção",1-Parâmetros!$B$22,1)</f>
        <v>337.05</v>
      </c>
      <c r="Q45" s="10">
        <f>Parâmetros!$B$20*K45</f>
        <v>300</v>
      </c>
      <c r="R45" s="10">
        <f>P45-Q45</f>
        <v>37.050000000000011</v>
      </c>
    </row>
    <row r="46" spans="1:18">
      <c r="A46">
        <v>45</v>
      </c>
      <c r="B46" s="8">
        <v>45798</v>
      </c>
      <c r="C46" t="s">
        <v>6</v>
      </c>
      <c r="D46" t="s">
        <v>46</v>
      </c>
      <c r="E46" t="s">
        <v>51</v>
      </c>
      <c r="F46" t="s">
        <v>54</v>
      </c>
      <c r="G46" t="s">
        <v>44</v>
      </c>
      <c r="H46" t="s">
        <v>44</v>
      </c>
      <c r="I46" t="s">
        <v>44</v>
      </c>
      <c r="J46" t="s">
        <v>49</v>
      </c>
      <c r="K46" s="9">
        <v>34</v>
      </c>
      <c r="L46" s="10">
        <f>IFERROR(VLOOKUP(C46,Parâmetros!$A$5:$D$7,IF(D46="Mensal",2,IF(D46="Trimestral",3,4)),0),0)</f>
        <v>9.99</v>
      </c>
      <c r="M46" s="10">
        <f>IF(G46="Sim",VLOOKUP("EA Play",Parâmetros!$A$11:$B$13,2,0),0)*K46</f>
        <v>0</v>
      </c>
      <c r="N46" s="10">
        <f>IF(H46="Sim",VLOOKUP("Minecraft Pass",Parâmetros!$A$11:$B$13,2,0),0)*K46</f>
        <v>0</v>
      </c>
      <c r="O46" s="10">
        <f>IF(I46="Sim",VLOOKUP("Call of Duty Pass",Parâmetros!$A$11:$B$13,2,0),0)*K46</f>
        <v>0</v>
      </c>
      <c r="P46" s="10">
        <f>(L46*K46+M46+N46+O46)*IF(F46="Promoção",1-Parâmetros!$B$22,1)</f>
        <v>305.69400000000002</v>
      </c>
      <c r="Q46" s="10">
        <f>Parâmetros!$B$20*K46</f>
        <v>408</v>
      </c>
      <c r="R46" s="10">
        <f>P46-Q46</f>
        <v>-102.30599999999998</v>
      </c>
    </row>
    <row r="47" spans="1:18">
      <c r="A47">
        <v>46</v>
      </c>
      <c r="B47" s="8">
        <v>45767</v>
      </c>
      <c r="C47" t="s">
        <v>6</v>
      </c>
      <c r="D47" t="s">
        <v>46</v>
      </c>
      <c r="E47" t="s">
        <v>55</v>
      </c>
      <c r="F47" t="s">
        <v>48</v>
      </c>
      <c r="G47" t="s">
        <v>44</v>
      </c>
      <c r="H47" t="s">
        <v>44</v>
      </c>
      <c r="I47" t="s">
        <v>44</v>
      </c>
      <c r="J47" t="s">
        <v>45</v>
      </c>
      <c r="K47" s="9">
        <v>29</v>
      </c>
      <c r="L47" s="10">
        <f>IFERROR(VLOOKUP(C47,Parâmetros!$A$5:$D$7,IF(D47="Mensal",2,IF(D47="Trimestral",3,4)),0),0)</f>
        <v>9.99</v>
      </c>
      <c r="M47" s="10">
        <f>IF(G47="Sim",VLOOKUP("EA Play",Parâmetros!$A$11:$B$13,2,0),0)*K47</f>
        <v>0</v>
      </c>
      <c r="N47" s="10">
        <f>IF(H47="Sim",VLOOKUP("Minecraft Pass",Parâmetros!$A$11:$B$13,2,0),0)*K47</f>
        <v>0</v>
      </c>
      <c r="O47" s="10">
        <f>IF(I47="Sim",VLOOKUP("Call of Duty Pass",Parâmetros!$A$11:$B$13,2,0),0)*K47</f>
        <v>0</v>
      </c>
      <c r="P47" s="10">
        <f>(L47*K47+M47+N47+O47)*IF(F47="Promoção",1-Parâmetros!$B$22,1)</f>
        <v>289.70999999999998</v>
      </c>
      <c r="Q47" s="10">
        <f>Parâmetros!$B$20*K47</f>
        <v>348</v>
      </c>
      <c r="R47" s="10">
        <f>P47-Q47</f>
        <v>-58.29000000000002</v>
      </c>
    </row>
    <row r="48" spans="1:18">
      <c r="A48">
        <v>47</v>
      </c>
      <c r="B48" s="8">
        <v>45919</v>
      </c>
      <c r="C48" t="s">
        <v>8</v>
      </c>
      <c r="D48" t="s">
        <v>50</v>
      </c>
      <c r="E48" t="s">
        <v>47</v>
      </c>
      <c r="F48" t="s">
        <v>54</v>
      </c>
      <c r="G48" t="s">
        <v>43</v>
      </c>
      <c r="H48" t="s">
        <v>43</v>
      </c>
      <c r="I48" t="s">
        <v>44</v>
      </c>
      <c r="J48" t="s">
        <v>49</v>
      </c>
      <c r="K48" s="9">
        <v>16</v>
      </c>
      <c r="L48" s="10">
        <f>IFERROR(VLOOKUP(C48,Parâmetros!$A$5:$D$7,IF(D48="Mensal",2,IF(D48="Trimestral",3,4)),0),0)</f>
        <v>219</v>
      </c>
      <c r="M48" s="10">
        <f>IF(G48="Sim",VLOOKUP("EA Play",Parâmetros!$A$11:$B$13,2,0),0)*K48</f>
        <v>79.84</v>
      </c>
      <c r="N48" s="10">
        <f>IF(H48="Sim",VLOOKUP("Minecraft Pass",Parâmetros!$A$11:$B$13,2,0),0)*K48</f>
        <v>63.84</v>
      </c>
      <c r="O48" s="10">
        <f>IF(I48="Sim",VLOOKUP("Call of Duty Pass",Parâmetros!$A$11:$B$13,2,0),0)*K48</f>
        <v>0</v>
      </c>
      <c r="P48" s="10">
        <f>(L48*K48+M48+N48+O48)*IF(F48="Promoção",1-Parâmetros!$B$22,1)</f>
        <v>3282.9120000000003</v>
      </c>
      <c r="Q48" s="10">
        <f>Parâmetros!$B$20*K48</f>
        <v>192</v>
      </c>
      <c r="R48" s="10">
        <f>P48-Q48</f>
        <v>3090.9120000000003</v>
      </c>
    </row>
    <row r="49" spans="1:18">
      <c r="A49">
        <v>48</v>
      </c>
      <c r="B49" s="8">
        <v>45944</v>
      </c>
      <c r="C49" t="s">
        <v>6</v>
      </c>
      <c r="D49" t="s">
        <v>40</v>
      </c>
      <c r="E49" t="s">
        <v>47</v>
      </c>
      <c r="F49" t="s">
        <v>42</v>
      </c>
      <c r="G49" t="s">
        <v>43</v>
      </c>
      <c r="H49" t="s">
        <v>44</v>
      </c>
      <c r="I49" t="s">
        <v>43</v>
      </c>
      <c r="J49" t="s">
        <v>49</v>
      </c>
      <c r="K49" s="9">
        <v>35</v>
      </c>
      <c r="L49" s="10">
        <f>IFERROR(VLOOKUP(C49,Parâmetros!$A$5:$D$7,IF(D49="Mensal",2,IF(D49="Trimestral",3,4)),0),0)</f>
        <v>27</v>
      </c>
      <c r="M49" s="10">
        <f>IF(G49="Sim",VLOOKUP("EA Play",Parâmetros!$A$11:$B$13,2,0),0)*K49</f>
        <v>174.65</v>
      </c>
      <c r="N49" s="10">
        <f>IF(H49="Sim",VLOOKUP("Minecraft Pass",Parâmetros!$A$11:$B$13,2,0),0)*K49</f>
        <v>0</v>
      </c>
      <c r="O49" s="10">
        <f>IF(I49="Sim",VLOOKUP("Call of Duty Pass",Parâmetros!$A$11:$B$13,2,0),0)*K49</f>
        <v>244.65</v>
      </c>
      <c r="P49" s="10">
        <f>(L49*K49+M49+N49+O49)*IF(F49="Promoção",1-Parâmetros!$B$22,1)</f>
        <v>1364.3000000000002</v>
      </c>
      <c r="Q49" s="10">
        <f>Parâmetros!$B$20*K49</f>
        <v>420</v>
      </c>
      <c r="R49" s="10">
        <f>P49-Q49</f>
        <v>944.30000000000018</v>
      </c>
    </row>
    <row r="50" spans="1:18">
      <c r="A50">
        <v>49</v>
      </c>
      <c r="B50" s="8">
        <v>45374</v>
      </c>
      <c r="C50" t="s">
        <v>6</v>
      </c>
      <c r="D50" t="s">
        <v>46</v>
      </c>
      <c r="E50" t="s">
        <v>51</v>
      </c>
      <c r="F50" t="s">
        <v>52</v>
      </c>
      <c r="G50" t="s">
        <v>43</v>
      </c>
      <c r="H50" t="s">
        <v>44</v>
      </c>
      <c r="I50" t="s">
        <v>44</v>
      </c>
      <c r="J50" t="s">
        <v>49</v>
      </c>
      <c r="K50" s="9">
        <v>14</v>
      </c>
      <c r="L50" s="10">
        <f>IFERROR(VLOOKUP(C50,Parâmetros!$A$5:$D$7,IF(D50="Mensal",2,IF(D50="Trimestral",3,4)),0),0)</f>
        <v>9.99</v>
      </c>
      <c r="M50" s="10">
        <f>IF(G50="Sim",VLOOKUP("EA Play",Parâmetros!$A$11:$B$13,2,0),0)*K50</f>
        <v>69.86</v>
      </c>
      <c r="N50" s="10">
        <f>IF(H50="Sim",VLOOKUP("Minecraft Pass",Parâmetros!$A$11:$B$13,2,0),0)*K50</f>
        <v>0</v>
      </c>
      <c r="O50" s="10">
        <f>IF(I50="Sim",VLOOKUP("Call of Duty Pass",Parâmetros!$A$11:$B$13,2,0),0)*K50</f>
        <v>0</v>
      </c>
      <c r="P50" s="10">
        <f>(L50*K50+M50+N50+O50)*IF(F50="Promoção",1-Parâmetros!$B$22,1)</f>
        <v>209.72000000000003</v>
      </c>
      <c r="Q50" s="10">
        <f>Parâmetros!$B$20*K50</f>
        <v>168</v>
      </c>
      <c r="R50" s="10">
        <f>P50-Q50</f>
        <v>41.720000000000027</v>
      </c>
    </row>
    <row r="51" spans="1:18">
      <c r="A51">
        <v>50</v>
      </c>
      <c r="B51" s="8">
        <v>45722</v>
      </c>
      <c r="C51" t="s">
        <v>6</v>
      </c>
      <c r="D51" t="s">
        <v>40</v>
      </c>
      <c r="E51" t="s">
        <v>53</v>
      </c>
      <c r="F51" t="s">
        <v>42</v>
      </c>
      <c r="G51" t="s">
        <v>44</v>
      </c>
      <c r="H51" t="s">
        <v>44</v>
      </c>
      <c r="I51" t="s">
        <v>44</v>
      </c>
      <c r="J51" t="s">
        <v>45</v>
      </c>
      <c r="K51" s="9">
        <v>20</v>
      </c>
      <c r="L51" s="10">
        <f>IFERROR(VLOOKUP(C51,Parâmetros!$A$5:$D$7,IF(D51="Mensal",2,IF(D51="Trimestral",3,4)),0),0)</f>
        <v>27</v>
      </c>
      <c r="M51" s="10">
        <f>IF(G51="Sim",VLOOKUP("EA Play",Parâmetros!$A$11:$B$13,2,0),0)*K51</f>
        <v>0</v>
      </c>
      <c r="N51" s="10">
        <f>IF(H51="Sim",VLOOKUP("Minecraft Pass",Parâmetros!$A$11:$B$13,2,0),0)*K51</f>
        <v>0</v>
      </c>
      <c r="O51" s="10">
        <f>IF(I51="Sim",VLOOKUP("Call of Duty Pass",Parâmetros!$A$11:$B$13,2,0),0)*K51</f>
        <v>0</v>
      </c>
      <c r="P51" s="10">
        <f>(L51*K51+M51+N51+O51)*IF(F51="Promoção",1-Parâmetros!$B$22,1)</f>
        <v>540</v>
      </c>
      <c r="Q51" s="10">
        <f>Parâmetros!$B$20*K51</f>
        <v>240</v>
      </c>
      <c r="R51" s="10">
        <f>P51-Q51</f>
        <v>300</v>
      </c>
    </row>
    <row r="52" spans="1:18">
      <c r="A52">
        <v>51</v>
      </c>
      <c r="B52" s="8">
        <v>45691</v>
      </c>
      <c r="C52" t="s">
        <v>8</v>
      </c>
      <c r="D52" t="s">
        <v>50</v>
      </c>
      <c r="E52" t="s">
        <v>41</v>
      </c>
      <c r="F52" t="s">
        <v>52</v>
      </c>
      <c r="G52" t="s">
        <v>44</v>
      </c>
      <c r="H52" t="s">
        <v>44</v>
      </c>
      <c r="I52" t="s">
        <v>43</v>
      </c>
      <c r="J52" t="s">
        <v>49</v>
      </c>
      <c r="K52" s="9">
        <v>28</v>
      </c>
      <c r="L52" s="10">
        <f>IFERROR(VLOOKUP(C52,Parâmetros!$A$5:$D$7,IF(D52="Mensal",2,IF(D52="Trimestral",3,4)),0),0)</f>
        <v>219</v>
      </c>
      <c r="M52" s="10">
        <f>IF(G52="Sim",VLOOKUP("EA Play",Parâmetros!$A$11:$B$13,2,0),0)*K52</f>
        <v>0</v>
      </c>
      <c r="N52" s="10">
        <f>IF(H52="Sim",VLOOKUP("Minecraft Pass",Parâmetros!$A$11:$B$13,2,0),0)*K52</f>
        <v>0</v>
      </c>
      <c r="O52" s="10">
        <f>IF(I52="Sim",VLOOKUP("Call of Duty Pass",Parâmetros!$A$11:$B$13,2,0),0)*K52</f>
        <v>195.72</v>
      </c>
      <c r="P52" s="10">
        <f>(L52*K52+M52+N52+O52)*IF(F52="Promoção",1-Parâmetros!$B$22,1)</f>
        <v>6327.72</v>
      </c>
      <c r="Q52" s="10">
        <f>Parâmetros!$B$20*K52</f>
        <v>336</v>
      </c>
      <c r="R52" s="10">
        <f>P52-Q52</f>
        <v>5991.72</v>
      </c>
    </row>
    <row r="53" spans="1:18">
      <c r="A53">
        <v>52</v>
      </c>
      <c r="B53" s="8">
        <v>45789</v>
      </c>
      <c r="C53" t="s">
        <v>6</v>
      </c>
      <c r="D53" t="s">
        <v>46</v>
      </c>
      <c r="E53" t="s">
        <v>51</v>
      </c>
      <c r="F53" t="s">
        <v>48</v>
      </c>
      <c r="G53" t="s">
        <v>43</v>
      </c>
      <c r="H53" t="s">
        <v>44</v>
      </c>
      <c r="I53" t="s">
        <v>43</v>
      </c>
      <c r="J53" t="s">
        <v>45</v>
      </c>
      <c r="K53" s="9">
        <v>2</v>
      </c>
      <c r="L53" s="10">
        <f>IFERROR(VLOOKUP(C53,Parâmetros!$A$5:$D$7,IF(D53="Mensal",2,IF(D53="Trimestral",3,4)),0),0)</f>
        <v>9.99</v>
      </c>
      <c r="M53" s="10">
        <f>IF(G53="Sim",VLOOKUP("EA Play",Parâmetros!$A$11:$B$13,2,0),0)*K53</f>
        <v>9.98</v>
      </c>
      <c r="N53" s="10">
        <f>IF(H53="Sim",VLOOKUP("Minecraft Pass",Parâmetros!$A$11:$B$13,2,0),0)*K53</f>
        <v>0</v>
      </c>
      <c r="O53" s="10">
        <f>IF(I53="Sim",VLOOKUP("Call of Duty Pass",Parâmetros!$A$11:$B$13,2,0),0)*K53</f>
        <v>13.98</v>
      </c>
      <c r="P53" s="10">
        <f>(L53*K53+M53+N53+O53)*IF(F53="Promoção",1-Parâmetros!$B$22,1)</f>
        <v>43.94</v>
      </c>
      <c r="Q53" s="10">
        <f>Parâmetros!$B$20*K53</f>
        <v>24</v>
      </c>
      <c r="R53" s="10">
        <f>P53-Q53</f>
        <v>19.939999999999998</v>
      </c>
    </row>
    <row r="54" spans="1:18">
      <c r="A54">
        <v>53</v>
      </c>
      <c r="B54" s="8">
        <v>45695</v>
      </c>
      <c r="C54" t="s">
        <v>7</v>
      </c>
      <c r="D54" t="s">
        <v>40</v>
      </c>
      <c r="E54" t="s">
        <v>41</v>
      </c>
      <c r="F54" t="s">
        <v>48</v>
      </c>
      <c r="G54" t="s">
        <v>44</v>
      </c>
      <c r="H54" t="s">
        <v>43</v>
      </c>
      <c r="I54" t="s">
        <v>43</v>
      </c>
      <c r="J54" t="s">
        <v>49</v>
      </c>
      <c r="K54" s="9">
        <v>30</v>
      </c>
      <c r="L54" s="10">
        <f>IFERROR(VLOOKUP(C54,Parâmetros!$A$5:$D$7,IF(D54="Mensal",2,IF(D54="Trimestral",3,4)),0),0)</f>
        <v>40</v>
      </c>
      <c r="M54" s="10">
        <f>IF(G54="Sim",VLOOKUP("EA Play",Parâmetros!$A$11:$B$13,2,0),0)*K54</f>
        <v>0</v>
      </c>
      <c r="N54" s="10">
        <f>IF(H54="Sim",VLOOKUP("Minecraft Pass",Parâmetros!$A$11:$B$13,2,0),0)*K54</f>
        <v>119.7</v>
      </c>
      <c r="O54" s="10">
        <f>IF(I54="Sim",VLOOKUP("Call of Duty Pass",Parâmetros!$A$11:$B$13,2,0),0)*K54</f>
        <v>209.70000000000002</v>
      </c>
      <c r="P54" s="10">
        <f>(L54*K54+M54+N54+O54)*IF(F54="Promoção",1-Parâmetros!$B$22,1)</f>
        <v>1529.4</v>
      </c>
      <c r="Q54" s="10">
        <f>Parâmetros!$B$20*K54</f>
        <v>360</v>
      </c>
      <c r="R54" s="10">
        <f>P54-Q54</f>
        <v>1169.4000000000001</v>
      </c>
    </row>
    <row r="55" spans="1:18">
      <c r="A55">
        <v>54</v>
      </c>
      <c r="B55" s="8">
        <v>45626</v>
      </c>
      <c r="C55" t="s">
        <v>6</v>
      </c>
      <c r="D55" t="s">
        <v>50</v>
      </c>
      <c r="E55" t="s">
        <v>41</v>
      </c>
      <c r="F55" t="s">
        <v>54</v>
      </c>
      <c r="G55" t="s">
        <v>43</v>
      </c>
      <c r="H55" t="s">
        <v>44</v>
      </c>
      <c r="I55" t="s">
        <v>44</v>
      </c>
      <c r="J55" t="s">
        <v>45</v>
      </c>
      <c r="K55" s="9">
        <v>4</v>
      </c>
      <c r="L55" s="10">
        <f>IFERROR(VLOOKUP(C55,Parâmetros!$A$5:$D$7,IF(D55="Mensal",2,IF(D55="Trimestral",3,4)),0),0)</f>
        <v>99</v>
      </c>
      <c r="M55" s="10">
        <f>IF(G55="Sim",VLOOKUP("EA Play",Parâmetros!$A$11:$B$13,2,0),0)*K55</f>
        <v>19.96</v>
      </c>
      <c r="N55" s="10">
        <f>IF(H55="Sim",VLOOKUP("Minecraft Pass",Parâmetros!$A$11:$B$13,2,0),0)*K55</f>
        <v>0</v>
      </c>
      <c r="O55" s="10">
        <f>IF(I55="Sim",VLOOKUP("Call of Duty Pass",Parâmetros!$A$11:$B$13,2,0),0)*K55</f>
        <v>0</v>
      </c>
      <c r="P55" s="10">
        <f>(L55*K55+M55+N55+O55)*IF(F55="Promoção",1-Parâmetros!$B$22,1)</f>
        <v>374.36399999999998</v>
      </c>
      <c r="Q55" s="10">
        <f>Parâmetros!$B$20*K55</f>
        <v>48</v>
      </c>
      <c r="R55" s="10">
        <f>P55-Q55</f>
        <v>326.36399999999998</v>
      </c>
    </row>
    <row r="56" spans="1:18">
      <c r="A56">
        <v>55</v>
      </c>
      <c r="B56" s="8">
        <v>45650</v>
      </c>
      <c r="C56" t="s">
        <v>6</v>
      </c>
      <c r="D56" t="s">
        <v>46</v>
      </c>
      <c r="E56" t="s">
        <v>53</v>
      </c>
      <c r="F56" t="s">
        <v>42</v>
      </c>
      <c r="G56" t="s">
        <v>43</v>
      </c>
      <c r="H56" t="s">
        <v>43</v>
      </c>
      <c r="I56" t="s">
        <v>44</v>
      </c>
      <c r="J56" t="s">
        <v>45</v>
      </c>
      <c r="K56" s="9">
        <v>16</v>
      </c>
      <c r="L56" s="10">
        <f>IFERROR(VLOOKUP(C56,Parâmetros!$A$5:$D$7,IF(D56="Mensal",2,IF(D56="Trimestral",3,4)),0),0)</f>
        <v>9.99</v>
      </c>
      <c r="M56" s="10">
        <f>IF(G56="Sim",VLOOKUP("EA Play",Parâmetros!$A$11:$B$13,2,0),0)*K56</f>
        <v>79.84</v>
      </c>
      <c r="N56" s="10">
        <f>IF(H56="Sim",VLOOKUP("Minecraft Pass",Parâmetros!$A$11:$B$13,2,0),0)*K56</f>
        <v>63.84</v>
      </c>
      <c r="O56" s="10">
        <f>IF(I56="Sim",VLOOKUP("Call of Duty Pass",Parâmetros!$A$11:$B$13,2,0),0)*K56</f>
        <v>0</v>
      </c>
      <c r="P56" s="10">
        <f>(L56*K56+M56+N56+O56)*IF(F56="Promoção",1-Parâmetros!$B$22,1)</f>
        <v>303.52</v>
      </c>
      <c r="Q56" s="10">
        <f>Parâmetros!$B$20*K56</f>
        <v>192</v>
      </c>
      <c r="R56" s="10">
        <f>P56-Q56</f>
        <v>111.51999999999998</v>
      </c>
    </row>
    <row r="57" spans="1:18">
      <c r="A57">
        <v>56</v>
      </c>
      <c r="B57" s="8">
        <v>45421</v>
      </c>
      <c r="C57" t="s">
        <v>7</v>
      </c>
      <c r="D57" t="s">
        <v>46</v>
      </c>
      <c r="E57" t="s">
        <v>53</v>
      </c>
      <c r="F57" t="s">
        <v>48</v>
      </c>
      <c r="G57" t="s">
        <v>43</v>
      </c>
      <c r="H57" t="s">
        <v>43</v>
      </c>
      <c r="I57" t="s">
        <v>44</v>
      </c>
      <c r="J57" t="s">
        <v>45</v>
      </c>
      <c r="K57" s="9">
        <v>8</v>
      </c>
      <c r="L57" s="10">
        <f>IFERROR(VLOOKUP(C57,Parâmetros!$A$5:$D$7,IF(D57="Mensal",2,IF(D57="Trimestral",3,4)),0),0)</f>
        <v>14.99</v>
      </c>
      <c r="M57" s="10">
        <f>IF(G57="Sim",VLOOKUP("EA Play",Parâmetros!$A$11:$B$13,2,0),0)*K57</f>
        <v>39.92</v>
      </c>
      <c r="N57" s="10">
        <f>IF(H57="Sim",VLOOKUP("Minecraft Pass",Parâmetros!$A$11:$B$13,2,0),0)*K57</f>
        <v>31.92</v>
      </c>
      <c r="O57" s="10">
        <f>IF(I57="Sim",VLOOKUP("Call of Duty Pass",Parâmetros!$A$11:$B$13,2,0),0)*K57</f>
        <v>0</v>
      </c>
      <c r="P57" s="10">
        <f>(L57*K57+M57+N57+O57)*IF(F57="Promoção",1-Parâmetros!$B$22,1)</f>
        <v>191.76</v>
      </c>
      <c r="Q57" s="10">
        <f>Parâmetros!$B$20*K57</f>
        <v>96</v>
      </c>
      <c r="R57" s="10">
        <f>P57-Q57</f>
        <v>95.759999999999991</v>
      </c>
    </row>
    <row r="58" spans="1:18">
      <c r="A58">
        <v>57</v>
      </c>
      <c r="B58" s="8">
        <v>45459</v>
      </c>
      <c r="C58" t="s">
        <v>8</v>
      </c>
      <c r="D58" t="s">
        <v>46</v>
      </c>
      <c r="E58" t="s">
        <v>41</v>
      </c>
      <c r="F58" t="s">
        <v>42</v>
      </c>
      <c r="G58" t="s">
        <v>44</v>
      </c>
      <c r="H58" t="s">
        <v>44</v>
      </c>
      <c r="I58" t="s">
        <v>44</v>
      </c>
      <c r="J58" t="s">
        <v>45</v>
      </c>
      <c r="K58" s="9">
        <v>5</v>
      </c>
      <c r="L58" s="10">
        <f>IFERROR(VLOOKUP(C58,Parâmetros!$A$5:$D$7,IF(D58="Mensal",2,IF(D58="Trimestral",3,4)),0),0)</f>
        <v>21.99</v>
      </c>
      <c r="M58" s="10">
        <f>IF(G58="Sim",VLOOKUP("EA Play",Parâmetros!$A$11:$B$13,2,0),0)*K58</f>
        <v>0</v>
      </c>
      <c r="N58" s="10">
        <f>IF(H58="Sim",VLOOKUP("Minecraft Pass",Parâmetros!$A$11:$B$13,2,0),0)*K58</f>
        <v>0</v>
      </c>
      <c r="O58" s="10">
        <f>IF(I58="Sim",VLOOKUP("Call of Duty Pass",Parâmetros!$A$11:$B$13,2,0),0)*K58</f>
        <v>0</v>
      </c>
      <c r="P58" s="10">
        <f>(L58*K58+M58+N58+O58)*IF(F58="Promoção",1-Parâmetros!$B$22,1)</f>
        <v>109.94999999999999</v>
      </c>
      <c r="Q58" s="10">
        <f>Parâmetros!$B$20*K58</f>
        <v>60</v>
      </c>
      <c r="R58" s="10">
        <f>P58-Q58</f>
        <v>49.949999999999989</v>
      </c>
    </row>
    <row r="59" spans="1:18">
      <c r="A59">
        <v>58</v>
      </c>
      <c r="B59" s="8">
        <v>45898</v>
      </c>
      <c r="C59" t="s">
        <v>7</v>
      </c>
      <c r="D59" t="s">
        <v>40</v>
      </c>
      <c r="E59" t="s">
        <v>41</v>
      </c>
      <c r="F59" t="s">
        <v>52</v>
      </c>
      <c r="G59" t="s">
        <v>44</v>
      </c>
      <c r="H59" t="s">
        <v>44</v>
      </c>
      <c r="I59" t="s">
        <v>43</v>
      </c>
      <c r="J59" t="s">
        <v>45</v>
      </c>
      <c r="K59" s="9">
        <v>3</v>
      </c>
      <c r="L59" s="10">
        <f>IFERROR(VLOOKUP(C59,Parâmetros!$A$5:$D$7,IF(D59="Mensal",2,IF(D59="Trimestral",3,4)),0),0)</f>
        <v>40</v>
      </c>
      <c r="M59" s="10">
        <f>IF(G59="Sim",VLOOKUP("EA Play",Parâmetros!$A$11:$B$13,2,0),0)*K59</f>
        <v>0</v>
      </c>
      <c r="N59" s="10">
        <f>IF(H59="Sim",VLOOKUP("Minecraft Pass",Parâmetros!$A$11:$B$13,2,0),0)*K59</f>
        <v>0</v>
      </c>
      <c r="O59" s="10">
        <f>IF(I59="Sim",VLOOKUP("Call of Duty Pass",Parâmetros!$A$11:$B$13,2,0),0)*K59</f>
        <v>20.97</v>
      </c>
      <c r="P59" s="10">
        <f>(L59*K59+M59+N59+O59)*IF(F59="Promoção",1-Parâmetros!$B$22,1)</f>
        <v>140.97</v>
      </c>
      <c r="Q59" s="10">
        <f>Parâmetros!$B$20*K59</f>
        <v>36</v>
      </c>
      <c r="R59" s="10">
        <f>P59-Q59</f>
        <v>104.97</v>
      </c>
    </row>
    <row r="60" spans="1:18">
      <c r="A60">
        <v>59</v>
      </c>
      <c r="B60" s="8">
        <v>45647</v>
      </c>
      <c r="C60" t="s">
        <v>7</v>
      </c>
      <c r="D60" t="s">
        <v>40</v>
      </c>
      <c r="E60" t="s">
        <v>41</v>
      </c>
      <c r="F60" t="s">
        <v>52</v>
      </c>
      <c r="G60" t="s">
        <v>43</v>
      </c>
      <c r="H60" t="s">
        <v>44</v>
      </c>
      <c r="I60" t="s">
        <v>44</v>
      </c>
      <c r="J60" t="s">
        <v>49</v>
      </c>
      <c r="K60" s="9">
        <v>24</v>
      </c>
      <c r="L60" s="10">
        <f>IFERROR(VLOOKUP(C60,Parâmetros!$A$5:$D$7,IF(D60="Mensal",2,IF(D60="Trimestral",3,4)),0),0)</f>
        <v>40</v>
      </c>
      <c r="M60" s="10">
        <f>IF(G60="Sim",VLOOKUP("EA Play",Parâmetros!$A$11:$B$13,2,0),0)*K60</f>
        <v>119.76</v>
      </c>
      <c r="N60" s="10">
        <f>IF(H60="Sim",VLOOKUP("Minecraft Pass",Parâmetros!$A$11:$B$13,2,0),0)*K60</f>
        <v>0</v>
      </c>
      <c r="O60" s="10">
        <f>IF(I60="Sim",VLOOKUP("Call of Duty Pass",Parâmetros!$A$11:$B$13,2,0),0)*K60</f>
        <v>0</v>
      </c>
      <c r="P60" s="10">
        <f>(L60*K60+M60+N60+O60)*IF(F60="Promoção",1-Parâmetros!$B$22,1)</f>
        <v>1079.76</v>
      </c>
      <c r="Q60" s="10">
        <f>Parâmetros!$B$20*K60</f>
        <v>288</v>
      </c>
      <c r="R60" s="10">
        <f>P60-Q60</f>
        <v>791.76</v>
      </c>
    </row>
    <row r="61" spans="1:18">
      <c r="A61">
        <v>60</v>
      </c>
      <c r="B61" s="8">
        <v>45942</v>
      </c>
      <c r="C61" t="s">
        <v>8</v>
      </c>
      <c r="D61" t="s">
        <v>46</v>
      </c>
      <c r="E61" t="s">
        <v>41</v>
      </c>
      <c r="F61" t="s">
        <v>42</v>
      </c>
      <c r="G61" t="s">
        <v>44</v>
      </c>
      <c r="H61" t="s">
        <v>44</v>
      </c>
      <c r="I61" t="s">
        <v>44</v>
      </c>
      <c r="J61" t="s">
        <v>45</v>
      </c>
      <c r="K61" s="9">
        <v>31</v>
      </c>
      <c r="L61" s="10">
        <f>IFERROR(VLOOKUP(C61,Parâmetros!$A$5:$D$7,IF(D61="Mensal",2,IF(D61="Trimestral",3,4)),0),0)</f>
        <v>21.99</v>
      </c>
      <c r="M61" s="10">
        <f>IF(G61="Sim",VLOOKUP("EA Play",Parâmetros!$A$11:$B$13,2,0),0)*K61</f>
        <v>0</v>
      </c>
      <c r="N61" s="10">
        <f>IF(H61="Sim",VLOOKUP("Minecraft Pass",Parâmetros!$A$11:$B$13,2,0),0)*K61</f>
        <v>0</v>
      </c>
      <c r="O61" s="10">
        <f>IF(I61="Sim",VLOOKUP("Call of Duty Pass",Parâmetros!$A$11:$B$13,2,0),0)*K61</f>
        <v>0</v>
      </c>
      <c r="P61" s="10">
        <f>(L61*K61+M61+N61+O61)*IF(F61="Promoção",1-Parâmetros!$B$22,1)</f>
        <v>681.68999999999994</v>
      </c>
      <c r="Q61" s="10">
        <f>Parâmetros!$B$20*K61</f>
        <v>372</v>
      </c>
      <c r="R61" s="10">
        <f>P61-Q61</f>
        <v>309.68999999999994</v>
      </c>
    </row>
    <row r="62" spans="1:18">
      <c r="A62">
        <v>61</v>
      </c>
      <c r="B62" s="8">
        <v>45768</v>
      </c>
      <c r="C62" t="s">
        <v>7</v>
      </c>
      <c r="D62" t="s">
        <v>40</v>
      </c>
      <c r="E62" t="s">
        <v>41</v>
      </c>
      <c r="F62" t="s">
        <v>54</v>
      </c>
      <c r="G62" t="s">
        <v>44</v>
      </c>
      <c r="H62" t="s">
        <v>43</v>
      </c>
      <c r="I62" t="s">
        <v>44</v>
      </c>
      <c r="J62" t="s">
        <v>49</v>
      </c>
      <c r="K62" s="9">
        <v>30</v>
      </c>
      <c r="L62" s="10">
        <f>IFERROR(VLOOKUP(C62,Parâmetros!$A$5:$D$7,IF(D62="Mensal",2,IF(D62="Trimestral",3,4)),0),0)</f>
        <v>40</v>
      </c>
      <c r="M62" s="10">
        <f>IF(G62="Sim",VLOOKUP("EA Play",Parâmetros!$A$11:$B$13,2,0),0)*K62</f>
        <v>0</v>
      </c>
      <c r="N62" s="10">
        <f>IF(H62="Sim",VLOOKUP("Minecraft Pass",Parâmetros!$A$11:$B$13,2,0),0)*K62</f>
        <v>119.7</v>
      </c>
      <c r="O62" s="10">
        <f>IF(I62="Sim",VLOOKUP("Call of Duty Pass",Parâmetros!$A$11:$B$13,2,0),0)*K62</f>
        <v>0</v>
      </c>
      <c r="P62" s="10">
        <f>(L62*K62+M62+N62+O62)*IF(F62="Promoção",1-Parâmetros!$B$22,1)</f>
        <v>1187.73</v>
      </c>
      <c r="Q62" s="10">
        <f>Parâmetros!$B$20*K62</f>
        <v>360</v>
      </c>
      <c r="R62" s="10">
        <f>P62-Q62</f>
        <v>827.73</v>
      </c>
    </row>
    <row r="63" spans="1:18">
      <c r="A63">
        <v>62</v>
      </c>
      <c r="B63" s="8">
        <v>45875</v>
      </c>
      <c r="C63" t="s">
        <v>7</v>
      </c>
      <c r="D63" t="s">
        <v>46</v>
      </c>
      <c r="E63" t="s">
        <v>41</v>
      </c>
      <c r="F63" t="s">
        <v>54</v>
      </c>
      <c r="G63" t="s">
        <v>43</v>
      </c>
      <c r="H63" t="s">
        <v>43</v>
      </c>
      <c r="I63" t="s">
        <v>44</v>
      </c>
      <c r="J63" t="s">
        <v>49</v>
      </c>
      <c r="K63" s="9">
        <v>18</v>
      </c>
      <c r="L63" s="10">
        <f>IFERROR(VLOOKUP(C63,Parâmetros!$A$5:$D$7,IF(D63="Mensal",2,IF(D63="Trimestral",3,4)),0),0)</f>
        <v>14.99</v>
      </c>
      <c r="M63" s="10">
        <f>IF(G63="Sim",VLOOKUP("EA Play",Parâmetros!$A$11:$B$13,2,0),0)*K63</f>
        <v>89.820000000000007</v>
      </c>
      <c r="N63" s="10">
        <f>IF(H63="Sim",VLOOKUP("Minecraft Pass",Parâmetros!$A$11:$B$13,2,0),0)*K63</f>
        <v>71.820000000000007</v>
      </c>
      <c r="O63" s="10">
        <f>IF(I63="Sim",VLOOKUP("Call of Duty Pass",Parâmetros!$A$11:$B$13,2,0),0)*K63</f>
        <v>0</v>
      </c>
      <c r="P63" s="10">
        <f>(L63*K63+M63+N63+O63)*IF(F63="Promoção",1-Parâmetros!$B$22,1)</f>
        <v>388.31399999999996</v>
      </c>
      <c r="Q63" s="10">
        <f>Parâmetros!$B$20*K63</f>
        <v>216</v>
      </c>
      <c r="R63" s="10">
        <f>P63-Q63</f>
        <v>172.31399999999996</v>
      </c>
    </row>
    <row r="64" spans="1:18">
      <c r="A64">
        <v>63</v>
      </c>
      <c r="B64" s="8">
        <v>45861</v>
      </c>
      <c r="C64" t="s">
        <v>6</v>
      </c>
      <c r="D64" t="s">
        <v>50</v>
      </c>
      <c r="E64" t="s">
        <v>41</v>
      </c>
      <c r="F64" t="s">
        <v>52</v>
      </c>
      <c r="G64" t="s">
        <v>44</v>
      </c>
      <c r="H64" t="s">
        <v>44</v>
      </c>
      <c r="I64" t="s">
        <v>44</v>
      </c>
      <c r="J64" t="s">
        <v>45</v>
      </c>
      <c r="K64" s="9">
        <v>32</v>
      </c>
      <c r="L64" s="10">
        <f>IFERROR(VLOOKUP(C64,Parâmetros!$A$5:$D$7,IF(D64="Mensal",2,IF(D64="Trimestral",3,4)),0),0)</f>
        <v>99</v>
      </c>
      <c r="M64" s="10">
        <f>IF(G64="Sim",VLOOKUP("EA Play",Parâmetros!$A$11:$B$13,2,0),0)*K64</f>
        <v>0</v>
      </c>
      <c r="N64" s="10">
        <f>IF(H64="Sim",VLOOKUP("Minecraft Pass",Parâmetros!$A$11:$B$13,2,0),0)*K64</f>
        <v>0</v>
      </c>
      <c r="O64" s="10">
        <f>IF(I64="Sim",VLOOKUP("Call of Duty Pass",Parâmetros!$A$11:$B$13,2,0),0)*K64</f>
        <v>0</v>
      </c>
      <c r="P64" s="10">
        <f>(L64*K64+M64+N64+O64)*IF(F64="Promoção",1-Parâmetros!$B$22,1)</f>
        <v>3168</v>
      </c>
      <c r="Q64" s="10">
        <f>Parâmetros!$B$20*K64</f>
        <v>384</v>
      </c>
      <c r="R64" s="10">
        <f>P64-Q64</f>
        <v>2784</v>
      </c>
    </row>
    <row r="65" spans="1:18">
      <c r="A65">
        <v>64</v>
      </c>
      <c r="B65" s="8">
        <v>45750</v>
      </c>
      <c r="C65" t="s">
        <v>8</v>
      </c>
      <c r="D65" t="s">
        <v>46</v>
      </c>
      <c r="E65" t="s">
        <v>41</v>
      </c>
      <c r="F65" t="s">
        <v>52</v>
      </c>
      <c r="G65" t="s">
        <v>43</v>
      </c>
      <c r="H65" t="s">
        <v>44</v>
      </c>
      <c r="I65" t="s">
        <v>44</v>
      </c>
      <c r="J65" t="s">
        <v>49</v>
      </c>
      <c r="K65" s="9">
        <v>28</v>
      </c>
      <c r="L65" s="10">
        <f>IFERROR(VLOOKUP(C65,Parâmetros!$A$5:$D$7,IF(D65="Mensal",2,IF(D65="Trimestral",3,4)),0),0)</f>
        <v>21.99</v>
      </c>
      <c r="M65" s="10">
        <f>IF(G65="Sim",VLOOKUP("EA Play",Parâmetros!$A$11:$B$13,2,0),0)*K65</f>
        <v>139.72</v>
      </c>
      <c r="N65" s="10">
        <f>IF(H65="Sim",VLOOKUP("Minecraft Pass",Parâmetros!$A$11:$B$13,2,0),0)*K65</f>
        <v>0</v>
      </c>
      <c r="O65" s="10">
        <f>IF(I65="Sim",VLOOKUP("Call of Duty Pass",Parâmetros!$A$11:$B$13,2,0),0)*K65</f>
        <v>0</v>
      </c>
      <c r="P65" s="10">
        <f>(L65*K65+M65+N65+O65)*IF(F65="Promoção",1-Parâmetros!$B$22,1)</f>
        <v>755.43999999999994</v>
      </c>
      <c r="Q65" s="10">
        <f>Parâmetros!$B$20*K65</f>
        <v>336</v>
      </c>
      <c r="R65" s="10">
        <f>P65-Q65</f>
        <v>419.43999999999994</v>
      </c>
    </row>
    <row r="66" spans="1:18">
      <c r="A66">
        <v>65</v>
      </c>
      <c r="B66" s="8">
        <v>45855</v>
      </c>
      <c r="C66" t="s">
        <v>6</v>
      </c>
      <c r="D66" t="s">
        <v>40</v>
      </c>
      <c r="E66" t="s">
        <v>41</v>
      </c>
      <c r="F66" t="s">
        <v>42</v>
      </c>
      <c r="G66" t="s">
        <v>43</v>
      </c>
      <c r="H66" t="s">
        <v>43</v>
      </c>
      <c r="I66" t="s">
        <v>43</v>
      </c>
      <c r="J66" t="s">
        <v>49</v>
      </c>
      <c r="K66" s="9">
        <v>12</v>
      </c>
      <c r="L66" s="10">
        <f>IFERROR(VLOOKUP(C66,Parâmetros!$A$5:$D$7,IF(D66="Mensal",2,IF(D66="Trimestral",3,4)),0),0)</f>
        <v>27</v>
      </c>
      <c r="M66" s="10">
        <f>IF(G66="Sim",VLOOKUP("EA Play",Parâmetros!$A$11:$B$13,2,0),0)*K66</f>
        <v>59.88</v>
      </c>
      <c r="N66" s="10">
        <f>IF(H66="Sim",VLOOKUP("Minecraft Pass",Parâmetros!$A$11:$B$13,2,0),0)*K66</f>
        <v>47.88</v>
      </c>
      <c r="O66" s="10">
        <f>IF(I66="Sim",VLOOKUP("Call of Duty Pass",Parâmetros!$A$11:$B$13,2,0),0)*K66</f>
        <v>83.88</v>
      </c>
      <c r="P66" s="10">
        <f>(L66*K66+M66+N66+O66)*IF(F66="Promoção",1-Parâmetros!$B$22,1)</f>
        <v>515.64</v>
      </c>
      <c r="Q66" s="10">
        <f>Parâmetros!$B$20*K66</f>
        <v>144</v>
      </c>
      <c r="R66" s="10">
        <f>P66-Q66</f>
        <v>371.64</v>
      </c>
    </row>
    <row r="67" spans="1:18">
      <c r="A67">
        <v>66</v>
      </c>
      <c r="B67" s="8">
        <v>45488</v>
      </c>
      <c r="C67" t="s">
        <v>6</v>
      </c>
      <c r="D67" t="s">
        <v>46</v>
      </c>
      <c r="E67" t="s">
        <v>51</v>
      </c>
      <c r="F67" t="s">
        <v>54</v>
      </c>
      <c r="G67" t="s">
        <v>44</v>
      </c>
      <c r="H67" t="s">
        <v>43</v>
      </c>
      <c r="I67" t="s">
        <v>43</v>
      </c>
      <c r="J67" t="s">
        <v>49</v>
      </c>
      <c r="K67" s="9">
        <v>15</v>
      </c>
      <c r="L67" s="10">
        <f>IFERROR(VLOOKUP(C67,Parâmetros!$A$5:$D$7,IF(D67="Mensal",2,IF(D67="Trimestral",3,4)),0),0)</f>
        <v>9.99</v>
      </c>
      <c r="M67" s="10">
        <f>IF(G67="Sim",VLOOKUP("EA Play",Parâmetros!$A$11:$B$13,2,0),0)*K67</f>
        <v>0</v>
      </c>
      <c r="N67" s="10">
        <f>IF(H67="Sim",VLOOKUP("Minecraft Pass",Parâmetros!$A$11:$B$13,2,0),0)*K67</f>
        <v>59.85</v>
      </c>
      <c r="O67" s="10">
        <f>IF(I67="Sim",VLOOKUP("Call of Duty Pass",Parâmetros!$A$11:$B$13,2,0),0)*K67</f>
        <v>104.85000000000001</v>
      </c>
      <c r="P67" s="10">
        <f>(L67*K67+M67+N67+O67)*IF(F67="Promoção",1-Parâmetros!$B$22,1)</f>
        <v>283.09500000000003</v>
      </c>
      <c r="Q67" s="10">
        <f>Parâmetros!$B$20*K67</f>
        <v>180</v>
      </c>
      <c r="R67" s="10">
        <f>P67-Q67</f>
        <v>103.09500000000003</v>
      </c>
    </row>
    <row r="68" spans="1:18">
      <c r="A68">
        <v>67</v>
      </c>
      <c r="B68" s="8">
        <v>45661</v>
      </c>
      <c r="C68" t="s">
        <v>6</v>
      </c>
      <c r="D68" t="s">
        <v>46</v>
      </c>
      <c r="E68" t="s">
        <v>47</v>
      </c>
      <c r="F68" t="s">
        <v>42</v>
      </c>
      <c r="G68" t="s">
        <v>44</v>
      </c>
      <c r="H68" t="s">
        <v>44</v>
      </c>
      <c r="I68" t="s">
        <v>44</v>
      </c>
      <c r="J68" t="s">
        <v>49</v>
      </c>
      <c r="K68" s="9">
        <v>32</v>
      </c>
      <c r="L68" s="10">
        <f>IFERROR(VLOOKUP(C68,Parâmetros!$A$5:$D$7,IF(D68="Mensal",2,IF(D68="Trimestral",3,4)),0),0)</f>
        <v>9.99</v>
      </c>
      <c r="M68" s="10">
        <f>IF(G68="Sim",VLOOKUP("EA Play",Parâmetros!$A$11:$B$13,2,0),0)*K68</f>
        <v>0</v>
      </c>
      <c r="N68" s="10">
        <f>IF(H68="Sim",VLOOKUP("Minecraft Pass",Parâmetros!$A$11:$B$13,2,0),0)*K68</f>
        <v>0</v>
      </c>
      <c r="O68" s="10">
        <f>IF(I68="Sim",VLOOKUP("Call of Duty Pass",Parâmetros!$A$11:$B$13,2,0),0)*K68</f>
        <v>0</v>
      </c>
      <c r="P68" s="10">
        <f>(L68*K68+M68+N68+O68)*IF(F68="Promoção",1-Parâmetros!$B$22,1)</f>
        <v>319.68</v>
      </c>
      <c r="Q68" s="10">
        <f>Parâmetros!$B$20*K68</f>
        <v>384</v>
      </c>
      <c r="R68" s="10">
        <f>P68-Q68</f>
        <v>-64.319999999999993</v>
      </c>
    </row>
    <row r="69" spans="1:18">
      <c r="A69">
        <v>68</v>
      </c>
      <c r="B69" s="8">
        <v>45397</v>
      </c>
      <c r="C69" t="s">
        <v>8</v>
      </c>
      <c r="D69" t="s">
        <v>40</v>
      </c>
      <c r="E69" t="s">
        <v>47</v>
      </c>
      <c r="F69" t="s">
        <v>48</v>
      </c>
      <c r="G69" t="s">
        <v>43</v>
      </c>
      <c r="H69" t="s">
        <v>43</v>
      </c>
      <c r="I69" t="s">
        <v>44</v>
      </c>
      <c r="J69" t="s">
        <v>49</v>
      </c>
      <c r="K69" s="9">
        <v>5</v>
      </c>
      <c r="L69" s="10">
        <f>IFERROR(VLOOKUP(C69,Parâmetros!$A$5:$D$7,IF(D69="Mensal",2,IF(D69="Trimestral",3,4)),0),0)</f>
        <v>59</v>
      </c>
      <c r="M69" s="10">
        <f>IF(G69="Sim",VLOOKUP("EA Play",Parâmetros!$A$11:$B$13,2,0),0)*K69</f>
        <v>24.950000000000003</v>
      </c>
      <c r="N69" s="10">
        <f>IF(H69="Sim",VLOOKUP("Minecraft Pass",Parâmetros!$A$11:$B$13,2,0),0)*K69</f>
        <v>19.950000000000003</v>
      </c>
      <c r="O69" s="10">
        <f>IF(I69="Sim",VLOOKUP("Call of Duty Pass",Parâmetros!$A$11:$B$13,2,0),0)*K69</f>
        <v>0</v>
      </c>
      <c r="P69" s="10">
        <f>(L69*K69+M69+N69+O69)*IF(F69="Promoção",1-Parâmetros!$B$22,1)</f>
        <v>339.9</v>
      </c>
      <c r="Q69" s="10">
        <f>Parâmetros!$B$20*K69</f>
        <v>60</v>
      </c>
      <c r="R69" s="10">
        <f>P69-Q69</f>
        <v>279.89999999999998</v>
      </c>
    </row>
    <row r="70" spans="1:18">
      <c r="A70">
        <v>69</v>
      </c>
      <c r="B70" s="8">
        <v>45702</v>
      </c>
      <c r="C70" t="s">
        <v>7</v>
      </c>
      <c r="D70" t="s">
        <v>40</v>
      </c>
      <c r="E70" t="s">
        <v>51</v>
      </c>
      <c r="F70" t="s">
        <v>42</v>
      </c>
      <c r="G70" t="s">
        <v>44</v>
      </c>
      <c r="H70" t="s">
        <v>44</v>
      </c>
      <c r="I70" t="s">
        <v>43</v>
      </c>
      <c r="J70" t="s">
        <v>49</v>
      </c>
      <c r="K70" s="9">
        <v>27</v>
      </c>
      <c r="L70" s="10">
        <f>IFERROR(VLOOKUP(C70,Parâmetros!$A$5:$D$7,IF(D70="Mensal",2,IF(D70="Trimestral",3,4)),0),0)</f>
        <v>40</v>
      </c>
      <c r="M70" s="10">
        <f>IF(G70="Sim",VLOOKUP("EA Play",Parâmetros!$A$11:$B$13,2,0),0)*K70</f>
        <v>0</v>
      </c>
      <c r="N70" s="10">
        <f>IF(H70="Sim",VLOOKUP("Minecraft Pass",Parâmetros!$A$11:$B$13,2,0),0)*K70</f>
        <v>0</v>
      </c>
      <c r="O70" s="10">
        <f>IF(I70="Sim",VLOOKUP("Call of Duty Pass",Parâmetros!$A$11:$B$13,2,0),0)*K70</f>
        <v>188.73000000000002</v>
      </c>
      <c r="P70" s="10">
        <f>(L70*K70+M70+N70+O70)*IF(F70="Promoção",1-Parâmetros!$B$22,1)</f>
        <v>1268.73</v>
      </c>
      <c r="Q70" s="10">
        <f>Parâmetros!$B$20*K70</f>
        <v>324</v>
      </c>
      <c r="R70" s="10">
        <f>P70-Q70</f>
        <v>944.73</v>
      </c>
    </row>
    <row r="71" spans="1:18">
      <c r="A71">
        <v>70</v>
      </c>
      <c r="B71" s="8">
        <v>45912</v>
      </c>
      <c r="C71" t="s">
        <v>7</v>
      </c>
      <c r="D71" t="s">
        <v>40</v>
      </c>
      <c r="E71" t="s">
        <v>51</v>
      </c>
      <c r="F71" t="s">
        <v>42</v>
      </c>
      <c r="G71" t="s">
        <v>44</v>
      </c>
      <c r="H71" t="s">
        <v>43</v>
      </c>
      <c r="I71" t="s">
        <v>44</v>
      </c>
      <c r="J71" t="s">
        <v>49</v>
      </c>
      <c r="K71" s="9">
        <v>4</v>
      </c>
      <c r="L71" s="10">
        <f>IFERROR(VLOOKUP(C71,Parâmetros!$A$5:$D$7,IF(D71="Mensal",2,IF(D71="Trimestral",3,4)),0),0)</f>
        <v>40</v>
      </c>
      <c r="M71" s="10">
        <f>IF(G71="Sim",VLOOKUP("EA Play",Parâmetros!$A$11:$B$13,2,0),0)*K71</f>
        <v>0</v>
      </c>
      <c r="N71" s="10">
        <f>IF(H71="Sim",VLOOKUP("Minecraft Pass",Parâmetros!$A$11:$B$13,2,0),0)*K71</f>
        <v>15.96</v>
      </c>
      <c r="O71" s="10">
        <f>IF(I71="Sim",VLOOKUP("Call of Duty Pass",Parâmetros!$A$11:$B$13,2,0),0)*K71</f>
        <v>0</v>
      </c>
      <c r="P71" s="10">
        <f>(L71*K71+M71+N71+O71)*IF(F71="Promoção",1-Parâmetros!$B$22,1)</f>
        <v>175.96</v>
      </c>
      <c r="Q71" s="10">
        <f>Parâmetros!$B$20*K71</f>
        <v>48</v>
      </c>
      <c r="R71" s="10">
        <f>P71-Q71</f>
        <v>127.96000000000001</v>
      </c>
    </row>
    <row r="72" spans="1:18">
      <c r="A72">
        <v>71</v>
      </c>
      <c r="B72" s="8">
        <v>45916</v>
      </c>
      <c r="C72" t="s">
        <v>8</v>
      </c>
      <c r="D72" t="s">
        <v>46</v>
      </c>
      <c r="E72" t="s">
        <v>51</v>
      </c>
      <c r="F72" t="s">
        <v>52</v>
      </c>
      <c r="G72" t="s">
        <v>43</v>
      </c>
      <c r="H72" t="s">
        <v>43</v>
      </c>
      <c r="I72" t="s">
        <v>43</v>
      </c>
      <c r="J72" t="s">
        <v>45</v>
      </c>
      <c r="K72" s="9">
        <v>11</v>
      </c>
      <c r="L72" s="10">
        <f>IFERROR(VLOOKUP(C72,Parâmetros!$A$5:$D$7,IF(D72="Mensal",2,IF(D72="Trimestral",3,4)),0),0)</f>
        <v>21.99</v>
      </c>
      <c r="M72" s="10">
        <f>IF(G72="Sim",VLOOKUP("EA Play",Parâmetros!$A$11:$B$13,2,0),0)*K72</f>
        <v>54.89</v>
      </c>
      <c r="N72" s="10">
        <f>IF(H72="Sim",VLOOKUP("Minecraft Pass",Parâmetros!$A$11:$B$13,2,0),0)*K72</f>
        <v>43.89</v>
      </c>
      <c r="O72" s="10">
        <f>IF(I72="Sim",VLOOKUP("Call of Duty Pass",Parâmetros!$A$11:$B$13,2,0),0)*K72</f>
        <v>76.89</v>
      </c>
      <c r="P72" s="10">
        <f>(L72*K72+M72+N72+O72)*IF(F72="Promoção",1-Parâmetros!$B$22,1)</f>
        <v>417.55999999999995</v>
      </c>
      <c r="Q72" s="10">
        <f>Parâmetros!$B$20*K72</f>
        <v>132</v>
      </c>
      <c r="R72" s="10">
        <f>P72-Q72</f>
        <v>285.55999999999995</v>
      </c>
    </row>
    <row r="73" spans="1:18">
      <c r="A73">
        <v>72</v>
      </c>
      <c r="B73" s="8">
        <v>45294</v>
      </c>
      <c r="C73" t="s">
        <v>7</v>
      </c>
      <c r="D73" t="s">
        <v>40</v>
      </c>
      <c r="E73" t="s">
        <v>47</v>
      </c>
      <c r="F73" t="s">
        <v>42</v>
      </c>
      <c r="G73" t="s">
        <v>43</v>
      </c>
      <c r="H73" t="s">
        <v>43</v>
      </c>
      <c r="I73" t="s">
        <v>44</v>
      </c>
      <c r="J73" t="s">
        <v>49</v>
      </c>
      <c r="K73" s="9">
        <v>15</v>
      </c>
      <c r="L73" s="10">
        <f>IFERROR(VLOOKUP(C73,Parâmetros!$A$5:$D$7,IF(D73="Mensal",2,IF(D73="Trimestral",3,4)),0),0)</f>
        <v>40</v>
      </c>
      <c r="M73" s="10">
        <f>IF(G73="Sim",VLOOKUP("EA Play",Parâmetros!$A$11:$B$13,2,0),0)*K73</f>
        <v>74.850000000000009</v>
      </c>
      <c r="N73" s="10">
        <f>IF(H73="Sim",VLOOKUP("Minecraft Pass",Parâmetros!$A$11:$B$13,2,0),0)*K73</f>
        <v>59.85</v>
      </c>
      <c r="O73" s="10">
        <f>IF(I73="Sim",VLOOKUP("Call of Duty Pass",Parâmetros!$A$11:$B$13,2,0),0)*K73</f>
        <v>0</v>
      </c>
      <c r="P73" s="10">
        <f>(L73*K73+M73+N73+O73)*IF(F73="Promoção",1-Parâmetros!$B$22,1)</f>
        <v>734.7</v>
      </c>
      <c r="Q73" s="10">
        <f>Parâmetros!$B$20*K73</f>
        <v>180</v>
      </c>
      <c r="R73" s="10">
        <f>P73-Q73</f>
        <v>554.70000000000005</v>
      </c>
    </row>
    <row r="74" spans="1:18">
      <c r="A74">
        <v>73</v>
      </c>
      <c r="B74" s="8">
        <v>45562</v>
      </c>
      <c r="C74" t="s">
        <v>8</v>
      </c>
      <c r="D74" t="s">
        <v>40</v>
      </c>
      <c r="E74" t="s">
        <v>51</v>
      </c>
      <c r="F74" t="s">
        <v>54</v>
      </c>
      <c r="G74" t="s">
        <v>43</v>
      </c>
      <c r="H74" t="s">
        <v>44</v>
      </c>
      <c r="I74" t="s">
        <v>44</v>
      </c>
      <c r="J74" t="s">
        <v>45</v>
      </c>
      <c r="K74" s="9">
        <v>10</v>
      </c>
      <c r="L74" s="10">
        <f>IFERROR(VLOOKUP(C74,Parâmetros!$A$5:$D$7,IF(D74="Mensal",2,IF(D74="Trimestral",3,4)),0),0)</f>
        <v>59</v>
      </c>
      <c r="M74" s="10">
        <f>IF(G74="Sim",VLOOKUP("EA Play",Parâmetros!$A$11:$B$13,2,0),0)*K74</f>
        <v>49.900000000000006</v>
      </c>
      <c r="N74" s="10">
        <f>IF(H74="Sim",VLOOKUP("Minecraft Pass",Parâmetros!$A$11:$B$13,2,0),0)*K74</f>
        <v>0</v>
      </c>
      <c r="O74" s="10">
        <f>IF(I74="Sim",VLOOKUP("Call of Duty Pass",Parâmetros!$A$11:$B$13,2,0),0)*K74</f>
        <v>0</v>
      </c>
      <c r="P74" s="10">
        <f>(L74*K74+M74+N74+O74)*IF(F74="Promoção",1-Parâmetros!$B$22,1)</f>
        <v>575.91</v>
      </c>
      <c r="Q74" s="10">
        <f>Parâmetros!$B$20*K74</f>
        <v>120</v>
      </c>
      <c r="R74" s="10">
        <f>P74-Q74</f>
        <v>455.90999999999997</v>
      </c>
    </row>
    <row r="75" spans="1:18">
      <c r="A75">
        <v>74</v>
      </c>
      <c r="B75" s="8">
        <v>45365</v>
      </c>
      <c r="C75" t="s">
        <v>6</v>
      </c>
      <c r="D75" t="s">
        <v>40</v>
      </c>
      <c r="E75" t="s">
        <v>47</v>
      </c>
      <c r="F75" t="s">
        <v>54</v>
      </c>
      <c r="G75" t="s">
        <v>44</v>
      </c>
      <c r="H75" t="s">
        <v>44</v>
      </c>
      <c r="I75" t="s">
        <v>44</v>
      </c>
      <c r="J75" t="s">
        <v>49</v>
      </c>
      <c r="K75" s="9">
        <v>26</v>
      </c>
      <c r="L75" s="10">
        <f>IFERROR(VLOOKUP(C75,Parâmetros!$A$5:$D$7,IF(D75="Mensal",2,IF(D75="Trimestral",3,4)),0),0)</f>
        <v>27</v>
      </c>
      <c r="M75" s="10">
        <f>IF(G75="Sim",VLOOKUP("EA Play",Parâmetros!$A$11:$B$13,2,0),0)*K75</f>
        <v>0</v>
      </c>
      <c r="N75" s="10">
        <f>IF(H75="Sim",VLOOKUP("Minecraft Pass",Parâmetros!$A$11:$B$13,2,0),0)*K75</f>
        <v>0</v>
      </c>
      <c r="O75" s="10">
        <f>IF(I75="Sim",VLOOKUP("Call of Duty Pass",Parâmetros!$A$11:$B$13,2,0),0)*K75</f>
        <v>0</v>
      </c>
      <c r="P75" s="10">
        <f>(L75*K75+M75+N75+O75)*IF(F75="Promoção",1-Parâmetros!$B$22,1)</f>
        <v>631.80000000000007</v>
      </c>
      <c r="Q75" s="10">
        <f>Parâmetros!$B$20*K75</f>
        <v>312</v>
      </c>
      <c r="R75" s="10">
        <f>P75-Q75</f>
        <v>319.80000000000007</v>
      </c>
    </row>
    <row r="76" spans="1:18">
      <c r="A76">
        <v>75</v>
      </c>
      <c r="B76" s="8">
        <v>45570</v>
      </c>
      <c r="C76" t="s">
        <v>7</v>
      </c>
      <c r="D76" t="s">
        <v>46</v>
      </c>
      <c r="E76" t="s">
        <v>41</v>
      </c>
      <c r="F76" t="s">
        <v>42</v>
      </c>
      <c r="G76" t="s">
        <v>43</v>
      </c>
      <c r="H76" t="s">
        <v>43</v>
      </c>
      <c r="I76" t="s">
        <v>43</v>
      </c>
      <c r="J76" t="s">
        <v>49</v>
      </c>
      <c r="K76" s="9">
        <v>2</v>
      </c>
      <c r="L76" s="10">
        <f>IFERROR(VLOOKUP(C76,Parâmetros!$A$5:$D$7,IF(D76="Mensal",2,IF(D76="Trimestral",3,4)),0),0)</f>
        <v>14.99</v>
      </c>
      <c r="M76" s="10">
        <f>IF(G76="Sim",VLOOKUP("EA Play",Parâmetros!$A$11:$B$13,2,0),0)*K76</f>
        <v>9.98</v>
      </c>
      <c r="N76" s="10">
        <f>IF(H76="Sim",VLOOKUP("Minecraft Pass",Parâmetros!$A$11:$B$13,2,0),0)*K76</f>
        <v>7.98</v>
      </c>
      <c r="O76" s="10">
        <f>IF(I76="Sim",VLOOKUP("Call of Duty Pass",Parâmetros!$A$11:$B$13,2,0),0)*K76</f>
        <v>13.98</v>
      </c>
      <c r="P76" s="10">
        <f>(L76*K76+M76+N76+O76)*IF(F76="Promoção",1-Parâmetros!$B$22,1)</f>
        <v>61.92</v>
      </c>
      <c r="Q76" s="10">
        <f>Parâmetros!$B$20*K76</f>
        <v>24</v>
      </c>
      <c r="R76" s="10">
        <f>P76-Q76</f>
        <v>37.92</v>
      </c>
    </row>
    <row r="77" spans="1:18">
      <c r="A77">
        <v>76</v>
      </c>
      <c r="B77" s="8">
        <v>45980</v>
      </c>
      <c r="C77" t="s">
        <v>8</v>
      </c>
      <c r="D77" t="s">
        <v>40</v>
      </c>
      <c r="E77" t="s">
        <v>51</v>
      </c>
      <c r="F77" t="s">
        <v>42</v>
      </c>
      <c r="G77" t="s">
        <v>44</v>
      </c>
      <c r="H77" t="s">
        <v>44</v>
      </c>
      <c r="I77" t="s">
        <v>43</v>
      </c>
      <c r="J77" t="s">
        <v>45</v>
      </c>
      <c r="K77" s="9">
        <v>28</v>
      </c>
      <c r="L77" s="10">
        <f>IFERROR(VLOOKUP(C77,Parâmetros!$A$5:$D$7,IF(D77="Mensal",2,IF(D77="Trimestral",3,4)),0),0)</f>
        <v>59</v>
      </c>
      <c r="M77" s="10">
        <f>IF(G77="Sim",VLOOKUP("EA Play",Parâmetros!$A$11:$B$13,2,0),0)*K77</f>
        <v>0</v>
      </c>
      <c r="N77" s="10">
        <f>IF(H77="Sim",VLOOKUP("Minecraft Pass",Parâmetros!$A$11:$B$13,2,0),0)*K77</f>
        <v>0</v>
      </c>
      <c r="O77" s="10">
        <f>IF(I77="Sim",VLOOKUP("Call of Duty Pass",Parâmetros!$A$11:$B$13,2,0),0)*K77</f>
        <v>195.72</v>
      </c>
      <c r="P77" s="10">
        <f>(L77*K77+M77+N77+O77)*IF(F77="Promoção",1-Parâmetros!$B$22,1)</f>
        <v>1847.72</v>
      </c>
      <c r="Q77" s="10">
        <f>Parâmetros!$B$20*K77</f>
        <v>336</v>
      </c>
      <c r="R77" s="10">
        <f>P77-Q77</f>
        <v>1511.72</v>
      </c>
    </row>
    <row r="78" spans="1:18">
      <c r="A78">
        <v>77</v>
      </c>
      <c r="B78" s="8">
        <v>45942</v>
      </c>
      <c r="C78" t="s">
        <v>8</v>
      </c>
      <c r="D78" t="s">
        <v>50</v>
      </c>
      <c r="E78" t="s">
        <v>47</v>
      </c>
      <c r="F78" t="s">
        <v>48</v>
      </c>
      <c r="G78" t="s">
        <v>43</v>
      </c>
      <c r="H78" t="s">
        <v>43</v>
      </c>
      <c r="I78" t="s">
        <v>43</v>
      </c>
      <c r="J78" t="s">
        <v>49</v>
      </c>
      <c r="K78" s="9">
        <v>32</v>
      </c>
      <c r="L78" s="10">
        <f>IFERROR(VLOOKUP(C78,Parâmetros!$A$5:$D$7,IF(D78="Mensal",2,IF(D78="Trimestral",3,4)),0),0)</f>
        <v>219</v>
      </c>
      <c r="M78" s="10">
        <f>IF(G78="Sim",VLOOKUP("EA Play",Parâmetros!$A$11:$B$13,2,0),0)*K78</f>
        <v>159.68</v>
      </c>
      <c r="N78" s="10">
        <f>IF(H78="Sim",VLOOKUP("Minecraft Pass",Parâmetros!$A$11:$B$13,2,0),0)*K78</f>
        <v>127.68</v>
      </c>
      <c r="O78" s="10">
        <f>IF(I78="Sim",VLOOKUP("Call of Duty Pass",Parâmetros!$A$11:$B$13,2,0),0)*K78</f>
        <v>223.68</v>
      </c>
      <c r="P78" s="10">
        <f>(L78*K78+M78+N78+O78)*IF(F78="Promoção",1-Parâmetros!$B$22,1)</f>
        <v>7519.0400000000009</v>
      </c>
      <c r="Q78" s="10">
        <f>Parâmetros!$B$20*K78</f>
        <v>384</v>
      </c>
      <c r="R78" s="10">
        <f>P78-Q78</f>
        <v>7135.0400000000009</v>
      </c>
    </row>
    <row r="79" spans="1:18">
      <c r="A79">
        <v>78</v>
      </c>
      <c r="B79" s="8">
        <v>45587</v>
      </c>
      <c r="C79" t="s">
        <v>7</v>
      </c>
      <c r="D79" t="s">
        <v>46</v>
      </c>
      <c r="E79" t="s">
        <v>51</v>
      </c>
      <c r="F79" t="s">
        <v>42</v>
      </c>
      <c r="G79" t="s">
        <v>43</v>
      </c>
      <c r="H79" t="s">
        <v>43</v>
      </c>
      <c r="I79" t="s">
        <v>43</v>
      </c>
      <c r="J79" t="s">
        <v>45</v>
      </c>
      <c r="K79" s="9">
        <v>33</v>
      </c>
      <c r="L79" s="10">
        <f>IFERROR(VLOOKUP(C79,Parâmetros!$A$5:$D$7,IF(D79="Mensal",2,IF(D79="Trimestral",3,4)),0),0)</f>
        <v>14.99</v>
      </c>
      <c r="M79" s="10">
        <f>IF(G79="Sim",VLOOKUP("EA Play",Parâmetros!$A$11:$B$13,2,0),0)*K79</f>
        <v>164.67000000000002</v>
      </c>
      <c r="N79" s="10">
        <f>IF(H79="Sim",VLOOKUP("Minecraft Pass",Parâmetros!$A$11:$B$13,2,0),0)*K79</f>
        <v>131.67000000000002</v>
      </c>
      <c r="O79" s="10">
        <f>IF(I79="Sim",VLOOKUP("Call of Duty Pass",Parâmetros!$A$11:$B$13,2,0),0)*K79</f>
        <v>230.67000000000002</v>
      </c>
      <c r="P79" s="10">
        <f>(L79*K79+M79+N79+O79)*IF(F79="Promoção",1-Parâmetros!$B$22,1)</f>
        <v>1021.6800000000001</v>
      </c>
      <c r="Q79" s="10">
        <f>Parâmetros!$B$20*K79</f>
        <v>396</v>
      </c>
      <c r="R79" s="10">
        <f>P79-Q79</f>
        <v>625.68000000000006</v>
      </c>
    </row>
    <row r="80" spans="1:18">
      <c r="A80">
        <v>79</v>
      </c>
      <c r="B80" s="8">
        <v>45293</v>
      </c>
      <c r="C80" t="s">
        <v>7</v>
      </c>
      <c r="D80" t="s">
        <v>40</v>
      </c>
      <c r="E80" t="s">
        <v>41</v>
      </c>
      <c r="F80" t="s">
        <v>42</v>
      </c>
      <c r="G80" t="s">
        <v>43</v>
      </c>
      <c r="H80" t="s">
        <v>44</v>
      </c>
      <c r="I80" t="s">
        <v>44</v>
      </c>
      <c r="J80" t="s">
        <v>45</v>
      </c>
      <c r="K80" s="9">
        <v>14</v>
      </c>
      <c r="L80" s="10">
        <f>IFERROR(VLOOKUP(C80,Parâmetros!$A$5:$D$7,IF(D80="Mensal",2,IF(D80="Trimestral",3,4)),0),0)</f>
        <v>40</v>
      </c>
      <c r="M80" s="10">
        <f>IF(G80="Sim",VLOOKUP("EA Play",Parâmetros!$A$11:$B$13,2,0),0)*K80</f>
        <v>69.86</v>
      </c>
      <c r="N80" s="10">
        <f>IF(H80="Sim",VLOOKUP("Minecraft Pass",Parâmetros!$A$11:$B$13,2,0),0)*K80</f>
        <v>0</v>
      </c>
      <c r="O80" s="10">
        <f>IF(I80="Sim",VLOOKUP("Call of Duty Pass",Parâmetros!$A$11:$B$13,2,0),0)*K80</f>
        <v>0</v>
      </c>
      <c r="P80" s="10">
        <f>(L80*K80+M80+N80+O80)*IF(F80="Promoção",1-Parâmetros!$B$22,1)</f>
        <v>629.86</v>
      </c>
      <c r="Q80" s="10">
        <f>Parâmetros!$B$20*K80</f>
        <v>168</v>
      </c>
      <c r="R80" s="10">
        <f>P80-Q80</f>
        <v>461.86</v>
      </c>
    </row>
    <row r="81" spans="1:18">
      <c r="A81">
        <v>80</v>
      </c>
      <c r="B81" s="8">
        <v>45565</v>
      </c>
      <c r="C81" t="s">
        <v>7</v>
      </c>
      <c r="D81" t="s">
        <v>50</v>
      </c>
      <c r="E81" t="s">
        <v>47</v>
      </c>
      <c r="F81" t="s">
        <v>52</v>
      </c>
      <c r="G81" t="s">
        <v>43</v>
      </c>
      <c r="H81" t="s">
        <v>44</v>
      </c>
      <c r="I81" t="s">
        <v>44</v>
      </c>
      <c r="J81" t="s">
        <v>49</v>
      </c>
      <c r="K81" s="9">
        <v>11</v>
      </c>
      <c r="L81" s="10">
        <f>IFERROR(VLOOKUP(C81,Parâmetros!$A$5:$D$7,IF(D81="Mensal",2,IF(D81="Trimestral",3,4)),0),0)</f>
        <v>149</v>
      </c>
      <c r="M81" s="10">
        <f>IF(G81="Sim",VLOOKUP("EA Play",Parâmetros!$A$11:$B$13,2,0),0)*K81</f>
        <v>54.89</v>
      </c>
      <c r="N81" s="10">
        <f>IF(H81="Sim",VLOOKUP("Minecraft Pass",Parâmetros!$A$11:$B$13,2,0),0)*K81</f>
        <v>0</v>
      </c>
      <c r="O81" s="10">
        <f>IF(I81="Sim",VLOOKUP("Call of Duty Pass",Parâmetros!$A$11:$B$13,2,0),0)*K81</f>
        <v>0</v>
      </c>
      <c r="P81" s="10">
        <f>(L81*K81+M81+N81+O81)*IF(F81="Promoção",1-Parâmetros!$B$22,1)</f>
        <v>1693.89</v>
      </c>
      <c r="Q81" s="10">
        <f>Parâmetros!$B$20*K81</f>
        <v>132</v>
      </c>
      <c r="R81" s="10">
        <f>P81-Q81</f>
        <v>1561.89</v>
      </c>
    </row>
    <row r="82" spans="1:18">
      <c r="A82">
        <v>81</v>
      </c>
      <c r="B82" s="8">
        <v>45610</v>
      </c>
      <c r="C82" t="s">
        <v>7</v>
      </c>
      <c r="D82" t="s">
        <v>40</v>
      </c>
      <c r="E82" t="s">
        <v>41</v>
      </c>
      <c r="F82" t="s">
        <v>54</v>
      </c>
      <c r="G82" t="s">
        <v>44</v>
      </c>
      <c r="H82" t="s">
        <v>44</v>
      </c>
      <c r="I82" t="s">
        <v>43</v>
      </c>
      <c r="J82" t="s">
        <v>45</v>
      </c>
      <c r="K82" s="9">
        <v>32</v>
      </c>
      <c r="L82" s="10">
        <f>IFERROR(VLOOKUP(C82,Parâmetros!$A$5:$D$7,IF(D82="Mensal",2,IF(D82="Trimestral",3,4)),0),0)</f>
        <v>40</v>
      </c>
      <c r="M82" s="10">
        <f>IF(G82="Sim",VLOOKUP("EA Play",Parâmetros!$A$11:$B$13,2,0),0)*K82</f>
        <v>0</v>
      </c>
      <c r="N82" s="10">
        <f>IF(H82="Sim",VLOOKUP("Minecraft Pass",Parâmetros!$A$11:$B$13,2,0),0)*K82</f>
        <v>0</v>
      </c>
      <c r="O82" s="10">
        <f>IF(I82="Sim",VLOOKUP("Call of Duty Pass",Parâmetros!$A$11:$B$13,2,0),0)*K82</f>
        <v>223.68</v>
      </c>
      <c r="P82" s="10">
        <f>(L82*K82+M82+N82+O82)*IF(F82="Promoção",1-Parâmetros!$B$22,1)</f>
        <v>1353.3120000000001</v>
      </c>
      <c r="Q82" s="10">
        <f>Parâmetros!$B$20*K82</f>
        <v>384</v>
      </c>
      <c r="R82" s="10">
        <f>P82-Q82</f>
        <v>969.31200000000013</v>
      </c>
    </row>
    <row r="83" spans="1:18">
      <c r="A83">
        <v>82</v>
      </c>
      <c r="B83" s="8">
        <v>45590</v>
      </c>
      <c r="C83" t="s">
        <v>7</v>
      </c>
      <c r="D83" t="s">
        <v>46</v>
      </c>
      <c r="E83" t="s">
        <v>51</v>
      </c>
      <c r="F83" t="s">
        <v>54</v>
      </c>
      <c r="G83" t="s">
        <v>43</v>
      </c>
      <c r="H83" t="s">
        <v>44</v>
      </c>
      <c r="I83" t="s">
        <v>44</v>
      </c>
      <c r="J83" t="s">
        <v>45</v>
      </c>
      <c r="K83" s="9">
        <v>33</v>
      </c>
      <c r="L83" s="10">
        <f>IFERROR(VLOOKUP(C83,Parâmetros!$A$5:$D$7,IF(D83="Mensal",2,IF(D83="Trimestral",3,4)),0),0)</f>
        <v>14.99</v>
      </c>
      <c r="M83" s="10">
        <f>IF(G83="Sim",VLOOKUP("EA Play",Parâmetros!$A$11:$B$13,2,0),0)*K83</f>
        <v>164.67000000000002</v>
      </c>
      <c r="N83" s="10">
        <f>IF(H83="Sim",VLOOKUP("Minecraft Pass",Parâmetros!$A$11:$B$13,2,0),0)*K83</f>
        <v>0</v>
      </c>
      <c r="O83" s="10">
        <f>IF(I83="Sim",VLOOKUP("Call of Duty Pass",Parâmetros!$A$11:$B$13,2,0),0)*K83</f>
        <v>0</v>
      </c>
      <c r="P83" s="10">
        <f>(L83*K83+M83+N83+O83)*IF(F83="Promoção",1-Parâmetros!$B$22,1)</f>
        <v>593.40600000000006</v>
      </c>
      <c r="Q83" s="10">
        <f>Parâmetros!$B$20*K83</f>
        <v>396</v>
      </c>
      <c r="R83" s="10">
        <f>P83-Q83</f>
        <v>197.40600000000006</v>
      </c>
    </row>
    <row r="84" spans="1:18">
      <c r="A84">
        <v>83</v>
      </c>
      <c r="B84" s="8">
        <v>45431</v>
      </c>
      <c r="C84" t="s">
        <v>8</v>
      </c>
      <c r="D84" t="s">
        <v>46</v>
      </c>
      <c r="E84" t="s">
        <v>51</v>
      </c>
      <c r="F84" t="s">
        <v>48</v>
      </c>
      <c r="G84" t="s">
        <v>44</v>
      </c>
      <c r="H84" t="s">
        <v>44</v>
      </c>
      <c r="I84" t="s">
        <v>44</v>
      </c>
      <c r="J84" t="s">
        <v>49</v>
      </c>
      <c r="K84" s="9">
        <v>20</v>
      </c>
      <c r="L84" s="10">
        <f>IFERROR(VLOOKUP(C84,Parâmetros!$A$5:$D$7,IF(D84="Mensal",2,IF(D84="Trimestral",3,4)),0),0)</f>
        <v>21.99</v>
      </c>
      <c r="M84" s="10">
        <f>IF(G84="Sim",VLOOKUP("EA Play",Parâmetros!$A$11:$B$13,2,0),0)*K84</f>
        <v>0</v>
      </c>
      <c r="N84" s="10">
        <f>IF(H84="Sim",VLOOKUP("Minecraft Pass",Parâmetros!$A$11:$B$13,2,0),0)*K84</f>
        <v>0</v>
      </c>
      <c r="O84" s="10">
        <f>IF(I84="Sim",VLOOKUP("Call of Duty Pass",Parâmetros!$A$11:$B$13,2,0),0)*K84</f>
        <v>0</v>
      </c>
      <c r="P84" s="10">
        <f>(L84*K84+M84+N84+O84)*IF(F84="Promoção",1-Parâmetros!$B$22,1)</f>
        <v>439.79999999999995</v>
      </c>
      <c r="Q84" s="10">
        <f>Parâmetros!$B$20*K84</f>
        <v>240</v>
      </c>
      <c r="R84" s="10">
        <f>P84-Q84</f>
        <v>199.79999999999995</v>
      </c>
    </row>
    <row r="85" spans="1:18">
      <c r="A85">
        <v>84</v>
      </c>
      <c r="B85" s="8">
        <v>45893</v>
      </c>
      <c r="C85" t="s">
        <v>7</v>
      </c>
      <c r="D85" t="s">
        <v>40</v>
      </c>
      <c r="E85" t="s">
        <v>55</v>
      </c>
      <c r="F85" t="s">
        <v>48</v>
      </c>
      <c r="G85" t="s">
        <v>44</v>
      </c>
      <c r="H85" t="s">
        <v>43</v>
      </c>
      <c r="I85" t="s">
        <v>44</v>
      </c>
      <c r="J85" t="s">
        <v>49</v>
      </c>
      <c r="K85" s="9">
        <v>21</v>
      </c>
      <c r="L85" s="10">
        <f>IFERROR(VLOOKUP(C85,Parâmetros!$A$5:$D$7,IF(D85="Mensal",2,IF(D85="Trimestral",3,4)),0),0)</f>
        <v>40</v>
      </c>
      <c r="M85" s="10">
        <f>IF(G85="Sim",VLOOKUP("EA Play",Parâmetros!$A$11:$B$13,2,0),0)*K85</f>
        <v>0</v>
      </c>
      <c r="N85" s="10">
        <f>IF(H85="Sim",VLOOKUP("Minecraft Pass",Parâmetros!$A$11:$B$13,2,0),0)*K85</f>
        <v>83.79</v>
      </c>
      <c r="O85" s="10">
        <f>IF(I85="Sim",VLOOKUP("Call of Duty Pass",Parâmetros!$A$11:$B$13,2,0),0)*K85</f>
        <v>0</v>
      </c>
      <c r="P85" s="10">
        <f>(L85*K85+M85+N85+O85)*IF(F85="Promoção",1-Parâmetros!$B$22,1)</f>
        <v>923.79</v>
      </c>
      <c r="Q85" s="10">
        <f>Parâmetros!$B$20*K85</f>
        <v>252</v>
      </c>
      <c r="R85" s="10">
        <f>P85-Q85</f>
        <v>671.79</v>
      </c>
    </row>
    <row r="86" spans="1:18">
      <c r="A86">
        <v>85</v>
      </c>
      <c r="B86" s="8">
        <v>45485</v>
      </c>
      <c r="C86" t="s">
        <v>8</v>
      </c>
      <c r="D86" t="s">
        <v>46</v>
      </c>
      <c r="E86" t="s">
        <v>41</v>
      </c>
      <c r="F86" t="s">
        <v>54</v>
      </c>
      <c r="G86" t="s">
        <v>43</v>
      </c>
      <c r="H86" t="s">
        <v>43</v>
      </c>
      <c r="I86" t="s">
        <v>44</v>
      </c>
      <c r="J86" t="s">
        <v>45</v>
      </c>
      <c r="K86" s="9">
        <v>25</v>
      </c>
      <c r="L86" s="10">
        <f>IFERROR(VLOOKUP(C86,Parâmetros!$A$5:$D$7,IF(D86="Mensal",2,IF(D86="Trimestral",3,4)),0),0)</f>
        <v>21.99</v>
      </c>
      <c r="M86" s="10">
        <f>IF(G86="Sim",VLOOKUP("EA Play",Parâmetros!$A$11:$B$13,2,0),0)*K86</f>
        <v>124.75</v>
      </c>
      <c r="N86" s="10">
        <f>IF(H86="Sim",VLOOKUP("Minecraft Pass",Parâmetros!$A$11:$B$13,2,0),0)*K86</f>
        <v>99.75</v>
      </c>
      <c r="O86" s="10">
        <f>IF(I86="Sim",VLOOKUP("Call of Duty Pass",Parâmetros!$A$11:$B$13,2,0),0)*K86</f>
        <v>0</v>
      </c>
      <c r="P86" s="10">
        <f>(L86*K86+M86+N86+O86)*IF(F86="Promoção",1-Parâmetros!$B$22,1)</f>
        <v>696.82500000000005</v>
      </c>
      <c r="Q86" s="10">
        <f>Parâmetros!$B$20*K86</f>
        <v>300</v>
      </c>
      <c r="R86" s="10">
        <f>P86-Q86</f>
        <v>396.82500000000005</v>
      </c>
    </row>
    <row r="87" spans="1:18">
      <c r="A87">
        <v>86</v>
      </c>
      <c r="B87" s="8">
        <v>45687</v>
      </c>
      <c r="C87" t="s">
        <v>8</v>
      </c>
      <c r="D87" t="s">
        <v>40</v>
      </c>
      <c r="E87" t="s">
        <v>51</v>
      </c>
      <c r="F87" t="s">
        <v>42</v>
      </c>
      <c r="G87" t="s">
        <v>44</v>
      </c>
      <c r="H87" t="s">
        <v>43</v>
      </c>
      <c r="I87" t="s">
        <v>44</v>
      </c>
      <c r="J87" t="s">
        <v>49</v>
      </c>
      <c r="K87" s="9">
        <v>7</v>
      </c>
      <c r="L87" s="10">
        <f>IFERROR(VLOOKUP(C87,Parâmetros!$A$5:$D$7,IF(D87="Mensal",2,IF(D87="Trimestral",3,4)),0),0)</f>
        <v>59</v>
      </c>
      <c r="M87" s="10">
        <f>IF(G87="Sim",VLOOKUP("EA Play",Parâmetros!$A$11:$B$13,2,0),0)*K87</f>
        <v>0</v>
      </c>
      <c r="N87" s="10">
        <f>IF(H87="Sim",VLOOKUP("Minecraft Pass",Parâmetros!$A$11:$B$13,2,0),0)*K87</f>
        <v>27.93</v>
      </c>
      <c r="O87" s="10">
        <f>IF(I87="Sim",VLOOKUP("Call of Duty Pass",Parâmetros!$A$11:$B$13,2,0),0)*K87</f>
        <v>0</v>
      </c>
      <c r="P87" s="10">
        <f>(L87*K87+M87+N87+O87)*IF(F87="Promoção",1-Parâmetros!$B$22,1)</f>
        <v>440.93</v>
      </c>
      <c r="Q87" s="10">
        <f>Parâmetros!$B$20*K87</f>
        <v>84</v>
      </c>
      <c r="R87" s="10">
        <f>P87-Q87</f>
        <v>356.93</v>
      </c>
    </row>
    <row r="88" spans="1:18">
      <c r="A88">
        <v>87</v>
      </c>
      <c r="B88" s="8">
        <v>45742</v>
      </c>
      <c r="C88" t="s">
        <v>6</v>
      </c>
      <c r="D88" t="s">
        <v>50</v>
      </c>
      <c r="E88" t="s">
        <v>41</v>
      </c>
      <c r="F88" t="s">
        <v>42</v>
      </c>
      <c r="G88" t="s">
        <v>44</v>
      </c>
      <c r="H88" t="s">
        <v>44</v>
      </c>
      <c r="I88" t="s">
        <v>43</v>
      </c>
      <c r="J88" t="s">
        <v>45</v>
      </c>
      <c r="K88" s="9">
        <v>17</v>
      </c>
      <c r="L88" s="10">
        <f>IFERROR(VLOOKUP(C88,Parâmetros!$A$5:$D$7,IF(D88="Mensal",2,IF(D88="Trimestral",3,4)),0),0)</f>
        <v>99</v>
      </c>
      <c r="M88" s="10">
        <f>IF(G88="Sim",VLOOKUP("EA Play",Parâmetros!$A$11:$B$13,2,0),0)*K88</f>
        <v>0</v>
      </c>
      <c r="N88" s="10">
        <f>IF(H88="Sim",VLOOKUP("Minecraft Pass",Parâmetros!$A$11:$B$13,2,0),0)*K88</f>
        <v>0</v>
      </c>
      <c r="O88" s="10">
        <f>IF(I88="Sim",VLOOKUP("Call of Duty Pass",Parâmetros!$A$11:$B$13,2,0),0)*K88</f>
        <v>118.83</v>
      </c>
      <c r="P88" s="10">
        <f>(L88*K88+M88+N88+O88)*IF(F88="Promoção",1-Parâmetros!$B$22,1)</f>
        <v>1801.83</v>
      </c>
      <c r="Q88" s="10">
        <f>Parâmetros!$B$20*K88</f>
        <v>204</v>
      </c>
      <c r="R88" s="10">
        <f>P88-Q88</f>
        <v>1597.83</v>
      </c>
    </row>
    <row r="89" spans="1:18">
      <c r="A89">
        <v>88</v>
      </c>
      <c r="B89" s="8">
        <v>45638</v>
      </c>
      <c r="C89" t="s">
        <v>7</v>
      </c>
      <c r="D89" t="s">
        <v>46</v>
      </c>
      <c r="E89" t="s">
        <v>41</v>
      </c>
      <c r="F89" t="s">
        <v>42</v>
      </c>
      <c r="G89" t="s">
        <v>44</v>
      </c>
      <c r="H89" t="s">
        <v>44</v>
      </c>
      <c r="I89" t="s">
        <v>44</v>
      </c>
      <c r="J89" t="s">
        <v>45</v>
      </c>
      <c r="K89" s="9">
        <v>32</v>
      </c>
      <c r="L89" s="10">
        <f>IFERROR(VLOOKUP(C89,Parâmetros!$A$5:$D$7,IF(D89="Mensal",2,IF(D89="Trimestral",3,4)),0),0)</f>
        <v>14.99</v>
      </c>
      <c r="M89" s="10">
        <f>IF(G89="Sim",VLOOKUP("EA Play",Parâmetros!$A$11:$B$13,2,0),0)*K89</f>
        <v>0</v>
      </c>
      <c r="N89" s="10">
        <f>IF(H89="Sim",VLOOKUP("Minecraft Pass",Parâmetros!$A$11:$B$13,2,0),0)*K89</f>
        <v>0</v>
      </c>
      <c r="O89" s="10">
        <f>IF(I89="Sim",VLOOKUP("Call of Duty Pass",Parâmetros!$A$11:$B$13,2,0),0)*K89</f>
        <v>0</v>
      </c>
      <c r="P89" s="10">
        <f>(L89*K89+M89+N89+O89)*IF(F89="Promoção",1-Parâmetros!$B$22,1)</f>
        <v>479.68</v>
      </c>
      <c r="Q89" s="10">
        <f>Parâmetros!$B$20*K89</f>
        <v>384</v>
      </c>
      <c r="R89" s="10">
        <f>P89-Q89</f>
        <v>95.68</v>
      </c>
    </row>
    <row r="90" spans="1:18">
      <c r="A90">
        <v>89</v>
      </c>
      <c r="B90" s="8">
        <v>45846</v>
      </c>
      <c r="C90" t="s">
        <v>6</v>
      </c>
      <c r="D90" t="s">
        <v>46</v>
      </c>
      <c r="E90" t="s">
        <v>47</v>
      </c>
      <c r="F90" t="s">
        <v>54</v>
      </c>
      <c r="G90" t="s">
        <v>44</v>
      </c>
      <c r="H90" t="s">
        <v>44</v>
      </c>
      <c r="I90" t="s">
        <v>44</v>
      </c>
      <c r="J90" t="s">
        <v>49</v>
      </c>
      <c r="K90" s="9">
        <v>7</v>
      </c>
      <c r="L90" s="10">
        <f>IFERROR(VLOOKUP(C90,Parâmetros!$A$5:$D$7,IF(D90="Mensal",2,IF(D90="Trimestral",3,4)),0),0)</f>
        <v>9.99</v>
      </c>
      <c r="M90" s="10">
        <f>IF(G90="Sim",VLOOKUP("EA Play",Parâmetros!$A$11:$B$13,2,0),0)*K90</f>
        <v>0</v>
      </c>
      <c r="N90" s="10">
        <f>IF(H90="Sim",VLOOKUP("Minecraft Pass",Parâmetros!$A$11:$B$13,2,0),0)*K90</f>
        <v>0</v>
      </c>
      <c r="O90" s="10">
        <f>IF(I90="Sim",VLOOKUP("Call of Duty Pass",Parâmetros!$A$11:$B$13,2,0),0)*K90</f>
        <v>0</v>
      </c>
      <c r="P90" s="10">
        <f>(L90*K90+M90+N90+O90)*IF(F90="Promoção",1-Parâmetros!$B$22,1)</f>
        <v>62.937000000000005</v>
      </c>
      <c r="Q90" s="10">
        <f>Parâmetros!$B$20*K90</f>
        <v>84</v>
      </c>
      <c r="R90" s="10">
        <f>P90-Q90</f>
        <v>-21.062999999999995</v>
      </c>
    </row>
    <row r="91" spans="1:18">
      <c r="A91">
        <v>90</v>
      </c>
      <c r="B91" s="8">
        <v>45746</v>
      </c>
      <c r="C91" t="s">
        <v>6</v>
      </c>
      <c r="D91" t="s">
        <v>46</v>
      </c>
      <c r="E91" t="s">
        <v>41</v>
      </c>
      <c r="F91" t="s">
        <v>42</v>
      </c>
      <c r="G91" t="s">
        <v>43</v>
      </c>
      <c r="H91" t="s">
        <v>43</v>
      </c>
      <c r="I91" t="s">
        <v>44</v>
      </c>
      <c r="J91" t="s">
        <v>49</v>
      </c>
      <c r="K91" s="9">
        <v>27</v>
      </c>
      <c r="L91" s="10">
        <f>IFERROR(VLOOKUP(C91,Parâmetros!$A$5:$D$7,IF(D91="Mensal",2,IF(D91="Trimestral",3,4)),0),0)</f>
        <v>9.99</v>
      </c>
      <c r="M91" s="10">
        <f>IF(G91="Sim",VLOOKUP("EA Play",Parâmetros!$A$11:$B$13,2,0),0)*K91</f>
        <v>134.73000000000002</v>
      </c>
      <c r="N91" s="10">
        <f>IF(H91="Sim",VLOOKUP("Minecraft Pass",Parâmetros!$A$11:$B$13,2,0),0)*K91</f>
        <v>107.73</v>
      </c>
      <c r="O91" s="10">
        <f>IF(I91="Sim",VLOOKUP("Call of Duty Pass",Parâmetros!$A$11:$B$13,2,0),0)*K91</f>
        <v>0</v>
      </c>
      <c r="P91" s="10">
        <f>(L91*K91+M91+N91+O91)*IF(F91="Promoção",1-Parâmetros!$B$22,1)</f>
        <v>512.19000000000005</v>
      </c>
      <c r="Q91" s="10">
        <f>Parâmetros!$B$20*K91</f>
        <v>324</v>
      </c>
      <c r="R91" s="10">
        <f>P91-Q91</f>
        <v>188.19000000000005</v>
      </c>
    </row>
    <row r="92" spans="1:18">
      <c r="A92">
        <v>91</v>
      </c>
      <c r="B92" s="8">
        <v>45871</v>
      </c>
      <c r="C92" t="s">
        <v>7</v>
      </c>
      <c r="D92" t="s">
        <v>46</v>
      </c>
      <c r="E92" t="s">
        <v>41</v>
      </c>
      <c r="F92" t="s">
        <v>52</v>
      </c>
      <c r="G92" t="s">
        <v>43</v>
      </c>
      <c r="H92" t="s">
        <v>44</v>
      </c>
      <c r="I92" t="s">
        <v>44</v>
      </c>
      <c r="J92" t="s">
        <v>45</v>
      </c>
      <c r="K92" s="9">
        <v>15</v>
      </c>
      <c r="L92" s="10">
        <f>IFERROR(VLOOKUP(C92,Parâmetros!$A$5:$D$7,IF(D92="Mensal",2,IF(D92="Trimestral",3,4)),0),0)</f>
        <v>14.99</v>
      </c>
      <c r="M92" s="10">
        <f>IF(G92="Sim",VLOOKUP("EA Play",Parâmetros!$A$11:$B$13,2,0),0)*K92</f>
        <v>74.850000000000009</v>
      </c>
      <c r="N92" s="10">
        <f>IF(H92="Sim",VLOOKUP("Minecraft Pass",Parâmetros!$A$11:$B$13,2,0),0)*K92</f>
        <v>0</v>
      </c>
      <c r="O92" s="10">
        <f>IF(I92="Sim",VLOOKUP("Call of Duty Pass",Parâmetros!$A$11:$B$13,2,0),0)*K92</f>
        <v>0</v>
      </c>
      <c r="P92" s="10">
        <f>(L92*K92+M92+N92+O92)*IF(F92="Promoção",1-Parâmetros!$B$22,1)</f>
        <v>299.7</v>
      </c>
      <c r="Q92" s="10">
        <f>Parâmetros!$B$20*K92</f>
        <v>180</v>
      </c>
      <c r="R92" s="10">
        <f>P92-Q92</f>
        <v>119.69999999999999</v>
      </c>
    </row>
    <row r="93" spans="1:18">
      <c r="A93">
        <v>92</v>
      </c>
      <c r="B93" s="8">
        <v>45764</v>
      </c>
      <c r="C93" t="s">
        <v>7</v>
      </c>
      <c r="D93" t="s">
        <v>46</v>
      </c>
      <c r="E93" t="s">
        <v>51</v>
      </c>
      <c r="F93" t="s">
        <v>54</v>
      </c>
      <c r="G93" t="s">
        <v>44</v>
      </c>
      <c r="H93" t="s">
        <v>43</v>
      </c>
      <c r="I93" t="s">
        <v>44</v>
      </c>
      <c r="J93" t="s">
        <v>49</v>
      </c>
      <c r="K93" s="9">
        <v>23</v>
      </c>
      <c r="L93" s="10">
        <f>IFERROR(VLOOKUP(C93,Parâmetros!$A$5:$D$7,IF(D93="Mensal",2,IF(D93="Trimestral",3,4)),0),0)</f>
        <v>14.99</v>
      </c>
      <c r="M93" s="10">
        <f>IF(G93="Sim",VLOOKUP("EA Play",Parâmetros!$A$11:$B$13,2,0),0)*K93</f>
        <v>0</v>
      </c>
      <c r="N93" s="10">
        <f>IF(H93="Sim",VLOOKUP("Minecraft Pass",Parâmetros!$A$11:$B$13,2,0),0)*K93</f>
        <v>91.77000000000001</v>
      </c>
      <c r="O93" s="10">
        <f>IF(I93="Sim",VLOOKUP("Call of Duty Pass",Parâmetros!$A$11:$B$13,2,0),0)*K93</f>
        <v>0</v>
      </c>
      <c r="P93" s="10">
        <f>(L93*K93+M93+N93+O93)*IF(F93="Promoção",1-Parâmetros!$B$22,1)</f>
        <v>392.88599999999997</v>
      </c>
      <c r="Q93" s="10">
        <f>Parâmetros!$B$20*K93</f>
        <v>276</v>
      </c>
      <c r="R93" s="10">
        <f>P93-Q93</f>
        <v>116.88599999999997</v>
      </c>
    </row>
    <row r="94" spans="1:18">
      <c r="A94">
        <v>93</v>
      </c>
      <c r="B94" s="8">
        <v>45893</v>
      </c>
      <c r="C94" t="s">
        <v>6</v>
      </c>
      <c r="D94" t="s">
        <v>50</v>
      </c>
      <c r="E94" t="s">
        <v>51</v>
      </c>
      <c r="F94" t="s">
        <v>48</v>
      </c>
      <c r="G94" t="s">
        <v>43</v>
      </c>
      <c r="H94" t="s">
        <v>44</v>
      </c>
      <c r="I94" t="s">
        <v>44</v>
      </c>
      <c r="J94" t="s">
        <v>49</v>
      </c>
      <c r="K94" s="9">
        <v>25</v>
      </c>
      <c r="L94" s="10">
        <f>IFERROR(VLOOKUP(C94,Parâmetros!$A$5:$D$7,IF(D94="Mensal",2,IF(D94="Trimestral",3,4)),0),0)</f>
        <v>99</v>
      </c>
      <c r="M94" s="10">
        <f>IF(G94="Sim",VLOOKUP("EA Play",Parâmetros!$A$11:$B$13,2,0),0)*K94</f>
        <v>124.75</v>
      </c>
      <c r="N94" s="10">
        <f>IF(H94="Sim",VLOOKUP("Minecraft Pass",Parâmetros!$A$11:$B$13,2,0),0)*K94</f>
        <v>0</v>
      </c>
      <c r="O94" s="10">
        <f>IF(I94="Sim",VLOOKUP("Call of Duty Pass",Parâmetros!$A$11:$B$13,2,0),0)*K94</f>
        <v>0</v>
      </c>
      <c r="P94" s="10">
        <f>(L94*K94+M94+N94+O94)*IF(F94="Promoção",1-Parâmetros!$B$22,1)</f>
        <v>2599.75</v>
      </c>
      <c r="Q94" s="10">
        <f>Parâmetros!$B$20*K94</f>
        <v>300</v>
      </c>
      <c r="R94" s="10">
        <f>P94-Q94</f>
        <v>2299.75</v>
      </c>
    </row>
    <row r="95" spans="1:18">
      <c r="A95">
        <v>94</v>
      </c>
      <c r="B95" s="8">
        <v>45877</v>
      </c>
      <c r="C95" t="s">
        <v>6</v>
      </c>
      <c r="D95" t="s">
        <v>46</v>
      </c>
      <c r="E95" t="s">
        <v>51</v>
      </c>
      <c r="F95" t="s">
        <v>42</v>
      </c>
      <c r="G95" t="s">
        <v>44</v>
      </c>
      <c r="H95" t="s">
        <v>43</v>
      </c>
      <c r="I95" t="s">
        <v>43</v>
      </c>
      <c r="J95" t="s">
        <v>45</v>
      </c>
      <c r="K95" s="9">
        <v>4</v>
      </c>
      <c r="L95" s="10">
        <f>IFERROR(VLOOKUP(C95,Parâmetros!$A$5:$D$7,IF(D95="Mensal",2,IF(D95="Trimestral",3,4)),0),0)</f>
        <v>9.99</v>
      </c>
      <c r="M95" s="10">
        <f>IF(G95="Sim",VLOOKUP("EA Play",Parâmetros!$A$11:$B$13,2,0),0)*K95</f>
        <v>0</v>
      </c>
      <c r="N95" s="10">
        <f>IF(H95="Sim",VLOOKUP("Minecraft Pass",Parâmetros!$A$11:$B$13,2,0),0)*K95</f>
        <v>15.96</v>
      </c>
      <c r="O95" s="10">
        <f>IF(I95="Sim",VLOOKUP("Call of Duty Pass",Parâmetros!$A$11:$B$13,2,0),0)*K95</f>
        <v>27.96</v>
      </c>
      <c r="P95" s="10">
        <f>(L95*K95+M95+N95+O95)*IF(F95="Promoção",1-Parâmetros!$B$22,1)</f>
        <v>83.88</v>
      </c>
      <c r="Q95" s="10">
        <f>Parâmetros!$B$20*K95</f>
        <v>48</v>
      </c>
      <c r="R95" s="10">
        <f>P95-Q95</f>
        <v>35.879999999999995</v>
      </c>
    </row>
    <row r="96" spans="1:18">
      <c r="A96">
        <v>95</v>
      </c>
      <c r="B96" s="8">
        <v>45912</v>
      </c>
      <c r="C96" t="s">
        <v>7</v>
      </c>
      <c r="D96" t="s">
        <v>50</v>
      </c>
      <c r="E96" t="s">
        <v>55</v>
      </c>
      <c r="F96" t="s">
        <v>52</v>
      </c>
      <c r="G96" t="s">
        <v>43</v>
      </c>
      <c r="H96" t="s">
        <v>44</v>
      </c>
      <c r="I96" t="s">
        <v>43</v>
      </c>
      <c r="J96" t="s">
        <v>49</v>
      </c>
      <c r="K96" s="9">
        <v>17</v>
      </c>
      <c r="L96" s="10">
        <f>IFERROR(VLOOKUP(C96,Parâmetros!$A$5:$D$7,IF(D96="Mensal",2,IF(D96="Trimestral",3,4)),0),0)</f>
        <v>149</v>
      </c>
      <c r="M96" s="10">
        <f>IF(G96="Sim",VLOOKUP("EA Play",Parâmetros!$A$11:$B$13,2,0),0)*K96</f>
        <v>84.83</v>
      </c>
      <c r="N96" s="10">
        <f>IF(H96="Sim",VLOOKUP("Minecraft Pass",Parâmetros!$A$11:$B$13,2,0),0)*K96</f>
        <v>0</v>
      </c>
      <c r="O96" s="10">
        <f>IF(I96="Sim",VLOOKUP("Call of Duty Pass",Parâmetros!$A$11:$B$13,2,0),0)*K96</f>
        <v>118.83</v>
      </c>
      <c r="P96" s="10">
        <f>(L96*K96+M96+N96+O96)*IF(F96="Promoção",1-Parâmetros!$B$22,1)</f>
        <v>2736.66</v>
      </c>
      <c r="Q96" s="10">
        <f>Parâmetros!$B$20*K96</f>
        <v>204</v>
      </c>
      <c r="R96" s="10">
        <f>P96-Q96</f>
        <v>2532.66</v>
      </c>
    </row>
    <row r="97" spans="1:18">
      <c r="A97">
        <v>96</v>
      </c>
      <c r="B97" s="8">
        <v>45986</v>
      </c>
      <c r="C97" t="s">
        <v>8</v>
      </c>
      <c r="D97" t="s">
        <v>40</v>
      </c>
      <c r="E97" t="s">
        <v>51</v>
      </c>
      <c r="F97" t="s">
        <v>42</v>
      </c>
      <c r="G97" t="s">
        <v>43</v>
      </c>
      <c r="H97" t="s">
        <v>44</v>
      </c>
      <c r="I97" t="s">
        <v>43</v>
      </c>
      <c r="J97" t="s">
        <v>45</v>
      </c>
      <c r="K97" s="9">
        <v>3</v>
      </c>
      <c r="L97" s="10">
        <f>IFERROR(VLOOKUP(C97,Parâmetros!$A$5:$D$7,IF(D97="Mensal",2,IF(D97="Trimestral",3,4)),0),0)</f>
        <v>59</v>
      </c>
      <c r="M97" s="10">
        <f>IF(G97="Sim",VLOOKUP("EA Play",Parâmetros!$A$11:$B$13,2,0),0)*K97</f>
        <v>14.97</v>
      </c>
      <c r="N97" s="10">
        <f>IF(H97="Sim",VLOOKUP("Minecraft Pass",Parâmetros!$A$11:$B$13,2,0),0)*K97</f>
        <v>0</v>
      </c>
      <c r="O97" s="10">
        <f>IF(I97="Sim",VLOOKUP("Call of Duty Pass",Parâmetros!$A$11:$B$13,2,0),0)*K97</f>
        <v>20.97</v>
      </c>
      <c r="P97" s="10">
        <f>(L97*K97+M97+N97+O97)*IF(F97="Promoção",1-Parâmetros!$B$22,1)</f>
        <v>212.94</v>
      </c>
      <c r="Q97" s="10">
        <f>Parâmetros!$B$20*K97</f>
        <v>36</v>
      </c>
      <c r="R97" s="10">
        <f>P97-Q97</f>
        <v>176.94</v>
      </c>
    </row>
    <row r="98" spans="1:18">
      <c r="A98">
        <v>97</v>
      </c>
      <c r="B98" s="8">
        <v>45885</v>
      </c>
      <c r="C98" t="s">
        <v>6</v>
      </c>
      <c r="D98" t="s">
        <v>46</v>
      </c>
      <c r="E98" t="s">
        <v>55</v>
      </c>
      <c r="F98" t="s">
        <v>42</v>
      </c>
      <c r="G98" t="s">
        <v>43</v>
      </c>
      <c r="H98" t="s">
        <v>43</v>
      </c>
      <c r="I98" t="s">
        <v>44</v>
      </c>
      <c r="J98" t="s">
        <v>45</v>
      </c>
      <c r="K98" s="9">
        <v>24</v>
      </c>
      <c r="L98" s="10">
        <f>IFERROR(VLOOKUP(C98,Parâmetros!$A$5:$D$7,IF(D98="Mensal",2,IF(D98="Trimestral",3,4)),0),0)</f>
        <v>9.99</v>
      </c>
      <c r="M98" s="10">
        <f>IF(G98="Sim",VLOOKUP("EA Play",Parâmetros!$A$11:$B$13,2,0),0)*K98</f>
        <v>119.76</v>
      </c>
      <c r="N98" s="10">
        <f>IF(H98="Sim",VLOOKUP("Minecraft Pass",Parâmetros!$A$11:$B$13,2,0),0)*K98</f>
        <v>95.76</v>
      </c>
      <c r="O98" s="10">
        <f>IF(I98="Sim",VLOOKUP("Call of Duty Pass",Parâmetros!$A$11:$B$13,2,0),0)*K98</f>
        <v>0</v>
      </c>
      <c r="P98" s="10">
        <f>(L98*K98+M98+N98+O98)*IF(F98="Promoção",1-Parâmetros!$B$22,1)</f>
        <v>455.28</v>
      </c>
      <c r="Q98" s="10">
        <f>Parâmetros!$B$20*K98</f>
        <v>288</v>
      </c>
      <c r="R98" s="10">
        <f>P98-Q98</f>
        <v>167.27999999999997</v>
      </c>
    </row>
    <row r="99" spans="1:18">
      <c r="A99">
        <v>98</v>
      </c>
      <c r="B99" s="8">
        <v>45835</v>
      </c>
      <c r="C99" t="s">
        <v>7</v>
      </c>
      <c r="D99" t="s">
        <v>46</v>
      </c>
      <c r="E99" t="s">
        <v>41</v>
      </c>
      <c r="F99" t="s">
        <v>54</v>
      </c>
      <c r="G99" t="s">
        <v>44</v>
      </c>
      <c r="H99" t="s">
        <v>44</v>
      </c>
      <c r="I99" t="s">
        <v>43</v>
      </c>
      <c r="J99" t="s">
        <v>45</v>
      </c>
      <c r="K99" s="9">
        <v>8</v>
      </c>
      <c r="L99" s="10">
        <f>IFERROR(VLOOKUP(C99,Parâmetros!$A$5:$D$7,IF(D99="Mensal",2,IF(D99="Trimestral",3,4)),0),0)</f>
        <v>14.99</v>
      </c>
      <c r="M99" s="10">
        <f>IF(G99="Sim",VLOOKUP("EA Play",Parâmetros!$A$11:$B$13,2,0),0)*K99</f>
        <v>0</v>
      </c>
      <c r="N99" s="10">
        <f>IF(H99="Sim",VLOOKUP("Minecraft Pass",Parâmetros!$A$11:$B$13,2,0),0)*K99</f>
        <v>0</v>
      </c>
      <c r="O99" s="10">
        <f>IF(I99="Sim",VLOOKUP("Call of Duty Pass",Parâmetros!$A$11:$B$13,2,0),0)*K99</f>
        <v>55.92</v>
      </c>
      <c r="P99" s="10">
        <f>(L99*K99+M99+N99+O99)*IF(F99="Promoção",1-Parâmetros!$B$22,1)</f>
        <v>158.256</v>
      </c>
      <c r="Q99" s="10">
        <f>Parâmetros!$B$20*K99</f>
        <v>96</v>
      </c>
      <c r="R99" s="10">
        <f>P99-Q99</f>
        <v>62.256</v>
      </c>
    </row>
    <row r="100" spans="1:18">
      <c r="A100">
        <v>99</v>
      </c>
      <c r="B100" s="8">
        <v>45771</v>
      </c>
      <c r="C100" t="s">
        <v>8</v>
      </c>
      <c r="D100" t="s">
        <v>46</v>
      </c>
      <c r="E100" t="s">
        <v>53</v>
      </c>
      <c r="F100" t="s">
        <v>54</v>
      </c>
      <c r="G100" t="s">
        <v>44</v>
      </c>
      <c r="H100" t="s">
        <v>44</v>
      </c>
      <c r="I100" t="s">
        <v>44</v>
      </c>
      <c r="J100" t="s">
        <v>45</v>
      </c>
      <c r="K100" s="9">
        <v>24</v>
      </c>
      <c r="L100" s="10">
        <f>IFERROR(VLOOKUP(C100,Parâmetros!$A$5:$D$7,IF(D100="Mensal",2,IF(D100="Trimestral",3,4)),0),0)</f>
        <v>21.99</v>
      </c>
      <c r="M100" s="10">
        <f>IF(G100="Sim",VLOOKUP("EA Play",Parâmetros!$A$11:$B$13,2,0),0)*K100</f>
        <v>0</v>
      </c>
      <c r="N100" s="10">
        <f>IF(H100="Sim",VLOOKUP("Minecraft Pass",Parâmetros!$A$11:$B$13,2,0),0)*K100</f>
        <v>0</v>
      </c>
      <c r="O100" s="10">
        <f>IF(I100="Sim",VLOOKUP("Call of Duty Pass",Parâmetros!$A$11:$B$13,2,0),0)*K100</f>
        <v>0</v>
      </c>
      <c r="P100" s="10">
        <f>(L100*K100+M100+N100+O100)*IF(F100="Promoção",1-Parâmetros!$B$22,1)</f>
        <v>474.98399999999998</v>
      </c>
      <c r="Q100" s="10">
        <f>Parâmetros!$B$20*K100</f>
        <v>288</v>
      </c>
      <c r="R100" s="10">
        <f>P100-Q100</f>
        <v>186.98399999999998</v>
      </c>
    </row>
    <row r="101" spans="1:18">
      <c r="A101">
        <v>100</v>
      </c>
      <c r="B101" s="8">
        <v>45384</v>
      </c>
      <c r="C101" t="s">
        <v>8</v>
      </c>
      <c r="D101" t="s">
        <v>46</v>
      </c>
      <c r="E101" t="s">
        <v>47</v>
      </c>
      <c r="F101" t="s">
        <v>48</v>
      </c>
      <c r="G101" t="s">
        <v>44</v>
      </c>
      <c r="H101" t="s">
        <v>44</v>
      </c>
      <c r="I101" t="s">
        <v>44</v>
      </c>
      <c r="J101" t="s">
        <v>45</v>
      </c>
      <c r="K101" s="9">
        <v>24</v>
      </c>
      <c r="L101" s="10">
        <f>IFERROR(VLOOKUP(C101,Parâmetros!$A$5:$D$7,IF(D101="Mensal",2,IF(D101="Trimestral",3,4)),0),0)</f>
        <v>21.99</v>
      </c>
      <c r="M101" s="10">
        <f>IF(G101="Sim",VLOOKUP("EA Play",Parâmetros!$A$11:$B$13,2,0),0)*K101</f>
        <v>0</v>
      </c>
      <c r="N101" s="10">
        <f>IF(H101="Sim",VLOOKUP("Minecraft Pass",Parâmetros!$A$11:$B$13,2,0),0)*K101</f>
        <v>0</v>
      </c>
      <c r="O101" s="10">
        <f>IF(I101="Sim",VLOOKUP("Call of Duty Pass",Parâmetros!$A$11:$B$13,2,0),0)*K101</f>
        <v>0</v>
      </c>
      <c r="P101" s="10">
        <f>(L101*K101+M101+N101+O101)*IF(F101="Promoção",1-Parâmetros!$B$22,1)</f>
        <v>527.76</v>
      </c>
      <c r="Q101" s="10">
        <f>Parâmetros!$B$20*K101</f>
        <v>288</v>
      </c>
      <c r="R101" s="10">
        <f>P101-Q101</f>
        <v>239.76</v>
      </c>
    </row>
    <row r="102" spans="1:18">
      <c r="A102">
        <v>101</v>
      </c>
      <c r="B102" s="8">
        <v>45402</v>
      </c>
      <c r="C102" t="s">
        <v>7</v>
      </c>
      <c r="D102" t="s">
        <v>46</v>
      </c>
      <c r="E102" t="s">
        <v>47</v>
      </c>
      <c r="F102" t="s">
        <v>54</v>
      </c>
      <c r="G102" t="s">
        <v>43</v>
      </c>
      <c r="H102" t="s">
        <v>44</v>
      </c>
      <c r="I102" t="s">
        <v>44</v>
      </c>
      <c r="J102" t="s">
        <v>45</v>
      </c>
      <c r="K102" s="9">
        <v>30</v>
      </c>
      <c r="L102" s="10">
        <f>IFERROR(VLOOKUP(C102,Parâmetros!$A$5:$D$7,IF(D102="Mensal",2,IF(D102="Trimestral",3,4)),0),0)</f>
        <v>14.99</v>
      </c>
      <c r="M102" s="10">
        <f>IF(G102="Sim",VLOOKUP("EA Play",Parâmetros!$A$11:$B$13,2,0),0)*K102</f>
        <v>149.70000000000002</v>
      </c>
      <c r="N102" s="10">
        <f>IF(H102="Sim",VLOOKUP("Minecraft Pass",Parâmetros!$A$11:$B$13,2,0),0)*K102</f>
        <v>0</v>
      </c>
      <c r="O102" s="10">
        <f>IF(I102="Sim",VLOOKUP("Call of Duty Pass",Parâmetros!$A$11:$B$13,2,0),0)*K102</f>
        <v>0</v>
      </c>
      <c r="P102" s="10">
        <f>(L102*K102+M102+N102+O102)*IF(F102="Promoção",1-Parâmetros!$B$22,1)</f>
        <v>539.46</v>
      </c>
      <c r="Q102" s="10">
        <f>Parâmetros!$B$20*K102</f>
        <v>360</v>
      </c>
      <c r="R102" s="10">
        <f>P102-Q102</f>
        <v>179.46000000000004</v>
      </c>
    </row>
    <row r="103" spans="1:18">
      <c r="A103">
        <v>102</v>
      </c>
      <c r="B103" s="8">
        <v>46009</v>
      </c>
      <c r="C103" t="s">
        <v>6</v>
      </c>
      <c r="D103" t="s">
        <v>46</v>
      </c>
      <c r="E103" t="s">
        <v>41</v>
      </c>
      <c r="F103" t="s">
        <v>54</v>
      </c>
      <c r="G103" t="s">
        <v>43</v>
      </c>
      <c r="H103" t="s">
        <v>44</v>
      </c>
      <c r="I103" t="s">
        <v>43</v>
      </c>
      <c r="J103" t="s">
        <v>45</v>
      </c>
      <c r="K103" s="9">
        <v>9</v>
      </c>
      <c r="L103" s="10">
        <f>IFERROR(VLOOKUP(C103,Parâmetros!$A$5:$D$7,IF(D103="Mensal",2,IF(D103="Trimestral",3,4)),0),0)</f>
        <v>9.99</v>
      </c>
      <c r="M103" s="10">
        <f>IF(G103="Sim",VLOOKUP("EA Play",Parâmetros!$A$11:$B$13,2,0),0)*K103</f>
        <v>44.910000000000004</v>
      </c>
      <c r="N103" s="10">
        <f>IF(H103="Sim",VLOOKUP("Minecraft Pass",Parâmetros!$A$11:$B$13,2,0),0)*K103</f>
        <v>0</v>
      </c>
      <c r="O103" s="10">
        <f>IF(I103="Sim",VLOOKUP("Call of Duty Pass",Parâmetros!$A$11:$B$13,2,0),0)*K103</f>
        <v>62.910000000000004</v>
      </c>
      <c r="P103" s="10">
        <f>(L103*K103+M103+N103+O103)*IF(F103="Promoção",1-Parâmetros!$B$22,1)</f>
        <v>177.95699999999999</v>
      </c>
      <c r="Q103" s="10">
        <f>Parâmetros!$B$20*K103</f>
        <v>108</v>
      </c>
      <c r="R103" s="10">
        <f>P103-Q103</f>
        <v>69.956999999999994</v>
      </c>
    </row>
    <row r="104" spans="1:18">
      <c r="A104">
        <v>103</v>
      </c>
      <c r="B104" s="8">
        <v>45689</v>
      </c>
      <c r="C104" t="s">
        <v>7</v>
      </c>
      <c r="D104" t="s">
        <v>40</v>
      </c>
      <c r="E104" t="s">
        <v>51</v>
      </c>
      <c r="F104" t="s">
        <v>54</v>
      </c>
      <c r="G104" t="s">
        <v>43</v>
      </c>
      <c r="H104" t="s">
        <v>44</v>
      </c>
      <c r="I104" t="s">
        <v>43</v>
      </c>
      <c r="J104" t="s">
        <v>49</v>
      </c>
      <c r="K104" s="9">
        <v>7</v>
      </c>
      <c r="L104" s="10">
        <f>IFERROR(VLOOKUP(C104,Parâmetros!$A$5:$D$7,IF(D104="Mensal",2,IF(D104="Trimestral",3,4)),0),0)</f>
        <v>40</v>
      </c>
      <c r="M104" s="10">
        <f>IF(G104="Sim",VLOOKUP("EA Play",Parâmetros!$A$11:$B$13,2,0),0)*K104</f>
        <v>34.93</v>
      </c>
      <c r="N104" s="10">
        <f>IF(H104="Sim",VLOOKUP("Minecraft Pass",Parâmetros!$A$11:$B$13,2,0),0)*K104</f>
        <v>0</v>
      </c>
      <c r="O104" s="10">
        <f>IF(I104="Sim",VLOOKUP("Call of Duty Pass",Parâmetros!$A$11:$B$13,2,0),0)*K104</f>
        <v>48.93</v>
      </c>
      <c r="P104" s="10">
        <f>(L104*K104+M104+N104+O104)*IF(F104="Promoção",1-Parâmetros!$B$22,1)</f>
        <v>327.47400000000005</v>
      </c>
      <c r="Q104" s="10">
        <f>Parâmetros!$B$20*K104</f>
        <v>84</v>
      </c>
      <c r="R104" s="10">
        <f>P104-Q104</f>
        <v>243.47400000000005</v>
      </c>
    </row>
    <row r="105" spans="1:18">
      <c r="A105">
        <v>104</v>
      </c>
      <c r="B105" s="8">
        <v>45793</v>
      </c>
      <c r="C105" t="s">
        <v>7</v>
      </c>
      <c r="D105" t="s">
        <v>50</v>
      </c>
      <c r="E105" t="s">
        <v>41</v>
      </c>
      <c r="F105" t="s">
        <v>52</v>
      </c>
      <c r="G105" t="s">
        <v>43</v>
      </c>
      <c r="H105" t="s">
        <v>44</v>
      </c>
      <c r="I105" t="s">
        <v>43</v>
      </c>
      <c r="J105" t="s">
        <v>49</v>
      </c>
      <c r="K105" s="9">
        <v>24</v>
      </c>
      <c r="L105" s="10">
        <f>IFERROR(VLOOKUP(C105,Parâmetros!$A$5:$D$7,IF(D105="Mensal",2,IF(D105="Trimestral",3,4)),0),0)</f>
        <v>149</v>
      </c>
      <c r="M105" s="10">
        <f>IF(G105="Sim",VLOOKUP("EA Play",Parâmetros!$A$11:$B$13,2,0),0)*K105</f>
        <v>119.76</v>
      </c>
      <c r="N105" s="10">
        <f>IF(H105="Sim",VLOOKUP("Minecraft Pass",Parâmetros!$A$11:$B$13,2,0),0)*K105</f>
        <v>0</v>
      </c>
      <c r="O105" s="10">
        <f>IF(I105="Sim",VLOOKUP("Call of Duty Pass",Parâmetros!$A$11:$B$13,2,0),0)*K105</f>
        <v>167.76</v>
      </c>
      <c r="P105" s="10">
        <f>(L105*K105+M105+N105+O105)*IF(F105="Promoção",1-Parâmetros!$B$22,1)</f>
        <v>3863.5200000000004</v>
      </c>
      <c r="Q105" s="10">
        <f>Parâmetros!$B$20*K105</f>
        <v>288</v>
      </c>
      <c r="R105" s="10">
        <f>P105-Q105</f>
        <v>3575.5200000000004</v>
      </c>
    </row>
    <row r="106" spans="1:18">
      <c r="A106">
        <v>105</v>
      </c>
      <c r="B106" s="8">
        <v>45849</v>
      </c>
      <c r="C106" t="s">
        <v>8</v>
      </c>
      <c r="D106" t="s">
        <v>40</v>
      </c>
      <c r="E106" t="s">
        <v>41</v>
      </c>
      <c r="F106" t="s">
        <v>42</v>
      </c>
      <c r="G106" t="s">
        <v>44</v>
      </c>
      <c r="H106" t="s">
        <v>44</v>
      </c>
      <c r="I106" t="s">
        <v>44</v>
      </c>
      <c r="J106" t="s">
        <v>49</v>
      </c>
      <c r="K106" s="9">
        <v>14</v>
      </c>
      <c r="L106" s="10">
        <f>IFERROR(VLOOKUP(C106,Parâmetros!$A$5:$D$7,IF(D106="Mensal",2,IF(D106="Trimestral",3,4)),0),0)</f>
        <v>59</v>
      </c>
      <c r="M106" s="10">
        <f>IF(G106="Sim",VLOOKUP("EA Play",Parâmetros!$A$11:$B$13,2,0),0)*K106</f>
        <v>0</v>
      </c>
      <c r="N106" s="10">
        <f>IF(H106="Sim",VLOOKUP("Minecraft Pass",Parâmetros!$A$11:$B$13,2,0),0)*K106</f>
        <v>0</v>
      </c>
      <c r="O106" s="10">
        <f>IF(I106="Sim",VLOOKUP("Call of Duty Pass",Parâmetros!$A$11:$B$13,2,0),0)*K106</f>
        <v>0</v>
      </c>
      <c r="P106" s="10">
        <f>(L106*K106+M106+N106+O106)*IF(F106="Promoção",1-Parâmetros!$B$22,1)</f>
        <v>826</v>
      </c>
      <c r="Q106" s="10">
        <f>Parâmetros!$B$20*K106</f>
        <v>168</v>
      </c>
      <c r="R106" s="10">
        <f>P106-Q106</f>
        <v>658</v>
      </c>
    </row>
    <row r="107" spans="1:18">
      <c r="A107">
        <v>106</v>
      </c>
      <c r="B107" s="8">
        <v>45949</v>
      </c>
      <c r="C107" t="s">
        <v>7</v>
      </c>
      <c r="D107" t="s">
        <v>50</v>
      </c>
      <c r="E107" t="s">
        <v>41</v>
      </c>
      <c r="F107" t="s">
        <v>42</v>
      </c>
      <c r="G107" t="s">
        <v>44</v>
      </c>
      <c r="H107" t="s">
        <v>44</v>
      </c>
      <c r="I107" t="s">
        <v>43</v>
      </c>
      <c r="J107" t="s">
        <v>45</v>
      </c>
      <c r="K107" s="9">
        <v>14</v>
      </c>
      <c r="L107" s="10">
        <f>IFERROR(VLOOKUP(C107,Parâmetros!$A$5:$D$7,IF(D107="Mensal",2,IF(D107="Trimestral",3,4)),0),0)</f>
        <v>149</v>
      </c>
      <c r="M107" s="10">
        <f>IF(G107="Sim",VLOOKUP("EA Play",Parâmetros!$A$11:$B$13,2,0),0)*K107</f>
        <v>0</v>
      </c>
      <c r="N107" s="10">
        <f>IF(H107="Sim",VLOOKUP("Minecraft Pass",Parâmetros!$A$11:$B$13,2,0),0)*K107</f>
        <v>0</v>
      </c>
      <c r="O107" s="10">
        <f>IF(I107="Sim",VLOOKUP("Call of Duty Pass",Parâmetros!$A$11:$B$13,2,0),0)*K107</f>
        <v>97.86</v>
      </c>
      <c r="P107" s="10">
        <f>(L107*K107+M107+N107+O107)*IF(F107="Promoção",1-Parâmetros!$B$22,1)</f>
        <v>2183.86</v>
      </c>
      <c r="Q107" s="10">
        <f>Parâmetros!$B$20*K107</f>
        <v>168</v>
      </c>
      <c r="R107" s="10">
        <f>P107-Q107</f>
        <v>2015.8600000000001</v>
      </c>
    </row>
    <row r="108" spans="1:18">
      <c r="A108">
        <v>107</v>
      </c>
      <c r="B108" s="8">
        <v>45892</v>
      </c>
      <c r="C108" t="s">
        <v>6</v>
      </c>
      <c r="D108" t="s">
        <v>50</v>
      </c>
      <c r="E108" t="s">
        <v>41</v>
      </c>
      <c r="F108" t="s">
        <v>42</v>
      </c>
      <c r="G108" t="s">
        <v>44</v>
      </c>
      <c r="H108" t="s">
        <v>43</v>
      </c>
      <c r="I108" t="s">
        <v>44</v>
      </c>
      <c r="J108" t="s">
        <v>49</v>
      </c>
      <c r="K108" s="9">
        <v>9</v>
      </c>
      <c r="L108" s="10">
        <f>IFERROR(VLOOKUP(C108,Parâmetros!$A$5:$D$7,IF(D108="Mensal",2,IF(D108="Trimestral",3,4)),0),0)</f>
        <v>99</v>
      </c>
      <c r="M108" s="10">
        <f>IF(G108="Sim",VLOOKUP("EA Play",Parâmetros!$A$11:$B$13,2,0),0)*K108</f>
        <v>0</v>
      </c>
      <c r="N108" s="10">
        <f>IF(H108="Sim",VLOOKUP("Minecraft Pass",Parâmetros!$A$11:$B$13,2,0),0)*K108</f>
        <v>35.910000000000004</v>
      </c>
      <c r="O108" s="10">
        <f>IF(I108="Sim",VLOOKUP("Call of Duty Pass",Parâmetros!$A$11:$B$13,2,0),0)*K108</f>
        <v>0</v>
      </c>
      <c r="P108" s="10">
        <f>(L108*K108+M108+N108+O108)*IF(F108="Promoção",1-Parâmetros!$B$22,1)</f>
        <v>926.91</v>
      </c>
      <c r="Q108" s="10">
        <f>Parâmetros!$B$20*K108</f>
        <v>108</v>
      </c>
      <c r="R108" s="10">
        <f>P108-Q108</f>
        <v>818.91</v>
      </c>
    </row>
    <row r="109" spans="1:18">
      <c r="A109">
        <v>108</v>
      </c>
      <c r="B109" s="8">
        <v>45845</v>
      </c>
      <c r="C109" t="s">
        <v>6</v>
      </c>
      <c r="D109" t="s">
        <v>46</v>
      </c>
      <c r="E109" t="s">
        <v>51</v>
      </c>
      <c r="F109" t="s">
        <v>42</v>
      </c>
      <c r="G109" t="s">
        <v>43</v>
      </c>
      <c r="H109" t="s">
        <v>44</v>
      </c>
      <c r="I109" t="s">
        <v>43</v>
      </c>
      <c r="J109" t="s">
        <v>49</v>
      </c>
      <c r="K109" s="9">
        <v>12</v>
      </c>
      <c r="L109" s="10">
        <f>IFERROR(VLOOKUP(C109,Parâmetros!$A$5:$D$7,IF(D109="Mensal",2,IF(D109="Trimestral",3,4)),0),0)</f>
        <v>9.99</v>
      </c>
      <c r="M109" s="10">
        <f>IF(G109="Sim",VLOOKUP("EA Play",Parâmetros!$A$11:$B$13,2,0),0)*K109</f>
        <v>59.88</v>
      </c>
      <c r="N109" s="10">
        <f>IF(H109="Sim",VLOOKUP("Minecraft Pass",Parâmetros!$A$11:$B$13,2,0),0)*K109</f>
        <v>0</v>
      </c>
      <c r="O109" s="10">
        <f>IF(I109="Sim",VLOOKUP("Call of Duty Pass",Parâmetros!$A$11:$B$13,2,0),0)*K109</f>
        <v>83.88</v>
      </c>
      <c r="P109" s="10">
        <f>(L109*K109+M109+N109+O109)*IF(F109="Promoção",1-Parâmetros!$B$22,1)</f>
        <v>263.64</v>
      </c>
      <c r="Q109" s="10">
        <f>Parâmetros!$B$20*K109</f>
        <v>144</v>
      </c>
      <c r="R109" s="10">
        <f>P109-Q109</f>
        <v>119.63999999999999</v>
      </c>
    </row>
    <row r="110" spans="1:18">
      <c r="A110">
        <v>109</v>
      </c>
      <c r="B110" s="8">
        <v>45563</v>
      </c>
      <c r="C110" t="s">
        <v>6</v>
      </c>
      <c r="D110" t="s">
        <v>40</v>
      </c>
      <c r="E110" t="s">
        <v>47</v>
      </c>
      <c r="F110" t="s">
        <v>52</v>
      </c>
      <c r="G110" t="s">
        <v>44</v>
      </c>
      <c r="H110" t="s">
        <v>44</v>
      </c>
      <c r="I110" t="s">
        <v>44</v>
      </c>
      <c r="J110" t="s">
        <v>49</v>
      </c>
      <c r="K110" s="9">
        <v>33</v>
      </c>
      <c r="L110" s="10">
        <f>IFERROR(VLOOKUP(C110,Parâmetros!$A$5:$D$7,IF(D110="Mensal",2,IF(D110="Trimestral",3,4)),0),0)</f>
        <v>27</v>
      </c>
      <c r="M110" s="10">
        <f>IF(G110="Sim",VLOOKUP("EA Play",Parâmetros!$A$11:$B$13,2,0),0)*K110</f>
        <v>0</v>
      </c>
      <c r="N110" s="10">
        <f>IF(H110="Sim",VLOOKUP("Minecraft Pass",Parâmetros!$A$11:$B$13,2,0),0)*K110</f>
        <v>0</v>
      </c>
      <c r="O110" s="10">
        <f>IF(I110="Sim",VLOOKUP("Call of Duty Pass",Parâmetros!$A$11:$B$13,2,0),0)*K110</f>
        <v>0</v>
      </c>
      <c r="P110" s="10">
        <f>(L110*K110+M110+N110+O110)*IF(F110="Promoção",1-Parâmetros!$B$22,1)</f>
        <v>891</v>
      </c>
      <c r="Q110" s="10">
        <f>Parâmetros!$B$20*K110</f>
        <v>396</v>
      </c>
      <c r="R110" s="10">
        <f>P110-Q110</f>
        <v>495</v>
      </c>
    </row>
    <row r="111" spans="1:18">
      <c r="A111">
        <v>110</v>
      </c>
      <c r="B111" s="8">
        <v>45518</v>
      </c>
      <c r="C111" t="s">
        <v>8</v>
      </c>
      <c r="D111" t="s">
        <v>46</v>
      </c>
      <c r="E111" t="s">
        <v>51</v>
      </c>
      <c r="F111" t="s">
        <v>54</v>
      </c>
      <c r="G111" t="s">
        <v>44</v>
      </c>
      <c r="H111" t="s">
        <v>44</v>
      </c>
      <c r="I111" t="s">
        <v>44</v>
      </c>
      <c r="J111" t="s">
        <v>49</v>
      </c>
      <c r="K111" s="9">
        <v>31</v>
      </c>
      <c r="L111" s="10">
        <f>IFERROR(VLOOKUP(C111,Parâmetros!$A$5:$D$7,IF(D111="Mensal",2,IF(D111="Trimestral",3,4)),0),0)</f>
        <v>21.99</v>
      </c>
      <c r="M111" s="10">
        <f>IF(G111="Sim",VLOOKUP("EA Play",Parâmetros!$A$11:$B$13,2,0),0)*K111</f>
        <v>0</v>
      </c>
      <c r="N111" s="10">
        <f>IF(H111="Sim",VLOOKUP("Minecraft Pass",Parâmetros!$A$11:$B$13,2,0),0)*K111</f>
        <v>0</v>
      </c>
      <c r="O111" s="10">
        <f>IF(I111="Sim",VLOOKUP("Call of Duty Pass",Parâmetros!$A$11:$B$13,2,0),0)*K111</f>
        <v>0</v>
      </c>
      <c r="P111" s="10">
        <f>(L111*K111+M111+N111+O111)*IF(F111="Promoção",1-Parâmetros!$B$22,1)</f>
        <v>613.52099999999996</v>
      </c>
      <c r="Q111" s="10">
        <f>Parâmetros!$B$20*K111</f>
        <v>372</v>
      </c>
      <c r="R111" s="10">
        <f>P111-Q111</f>
        <v>241.52099999999996</v>
      </c>
    </row>
    <row r="112" spans="1:18">
      <c r="A112">
        <v>111</v>
      </c>
      <c r="B112" s="8">
        <v>45703</v>
      </c>
      <c r="C112" t="s">
        <v>7</v>
      </c>
      <c r="D112" t="s">
        <v>46</v>
      </c>
      <c r="E112" t="s">
        <v>51</v>
      </c>
      <c r="F112" t="s">
        <v>48</v>
      </c>
      <c r="G112" t="s">
        <v>44</v>
      </c>
      <c r="H112" t="s">
        <v>43</v>
      </c>
      <c r="I112" t="s">
        <v>43</v>
      </c>
      <c r="J112" t="s">
        <v>49</v>
      </c>
      <c r="K112" s="9">
        <v>21</v>
      </c>
      <c r="L112" s="10">
        <f>IFERROR(VLOOKUP(C112,Parâmetros!$A$5:$D$7,IF(D112="Mensal",2,IF(D112="Trimestral",3,4)),0),0)</f>
        <v>14.99</v>
      </c>
      <c r="M112" s="10">
        <f>IF(G112="Sim",VLOOKUP("EA Play",Parâmetros!$A$11:$B$13,2,0),0)*K112</f>
        <v>0</v>
      </c>
      <c r="N112" s="10">
        <f>IF(H112="Sim",VLOOKUP("Minecraft Pass",Parâmetros!$A$11:$B$13,2,0),0)*K112</f>
        <v>83.79</v>
      </c>
      <c r="O112" s="10">
        <f>IF(I112="Sim",VLOOKUP("Call of Duty Pass",Parâmetros!$A$11:$B$13,2,0),0)*K112</f>
        <v>146.79</v>
      </c>
      <c r="P112" s="10">
        <f>(L112*K112+M112+N112+O112)*IF(F112="Promoção",1-Parâmetros!$B$22,1)</f>
        <v>545.37</v>
      </c>
      <c r="Q112" s="10">
        <f>Parâmetros!$B$20*K112</f>
        <v>252</v>
      </c>
      <c r="R112" s="10">
        <f>P112-Q112</f>
        <v>293.37</v>
      </c>
    </row>
    <row r="113" spans="1:18">
      <c r="A113">
        <v>112</v>
      </c>
      <c r="B113" s="8">
        <v>45682</v>
      </c>
      <c r="C113" t="s">
        <v>8</v>
      </c>
      <c r="D113" t="s">
        <v>40</v>
      </c>
      <c r="E113" t="s">
        <v>47</v>
      </c>
      <c r="F113" t="s">
        <v>52</v>
      </c>
      <c r="G113" t="s">
        <v>43</v>
      </c>
      <c r="H113" t="s">
        <v>44</v>
      </c>
      <c r="I113" t="s">
        <v>44</v>
      </c>
      <c r="J113" t="s">
        <v>45</v>
      </c>
      <c r="K113" s="9">
        <v>14</v>
      </c>
      <c r="L113" s="10">
        <f>IFERROR(VLOOKUP(C113,Parâmetros!$A$5:$D$7,IF(D113="Mensal",2,IF(D113="Trimestral",3,4)),0),0)</f>
        <v>59</v>
      </c>
      <c r="M113" s="10">
        <f>IF(G113="Sim",VLOOKUP("EA Play",Parâmetros!$A$11:$B$13,2,0),0)*K113</f>
        <v>69.86</v>
      </c>
      <c r="N113" s="10">
        <f>IF(H113="Sim",VLOOKUP("Minecraft Pass",Parâmetros!$A$11:$B$13,2,0),0)*K113</f>
        <v>0</v>
      </c>
      <c r="O113" s="10">
        <f>IF(I113="Sim",VLOOKUP("Call of Duty Pass",Parâmetros!$A$11:$B$13,2,0),0)*K113</f>
        <v>0</v>
      </c>
      <c r="P113" s="10">
        <f>(L113*K113+M113+N113+O113)*IF(F113="Promoção",1-Parâmetros!$B$22,1)</f>
        <v>895.86</v>
      </c>
      <c r="Q113" s="10">
        <f>Parâmetros!$B$20*K113</f>
        <v>168</v>
      </c>
      <c r="R113" s="10">
        <f>P113-Q113</f>
        <v>727.86</v>
      </c>
    </row>
    <row r="114" spans="1:18">
      <c r="A114">
        <v>113</v>
      </c>
      <c r="B114" s="8">
        <v>45732</v>
      </c>
      <c r="C114" t="s">
        <v>7</v>
      </c>
      <c r="D114" t="s">
        <v>46</v>
      </c>
      <c r="E114" t="s">
        <v>41</v>
      </c>
      <c r="F114" t="s">
        <v>48</v>
      </c>
      <c r="G114" t="s">
        <v>43</v>
      </c>
      <c r="H114" t="s">
        <v>43</v>
      </c>
      <c r="I114" t="s">
        <v>44</v>
      </c>
      <c r="J114" t="s">
        <v>45</v>
      </c>
      <c r="K114" s="9">
        <v>24</v>
      </c>
      <c r="L114" s="10">
        <f>IFERROR(VLOOKUP(C114,Parâmetros!$A$5:$D$7,IF(D114="Mensal",2,IF(D114="Trimestral",3,4)),0),0)</f>
        <v>14.99</v>
      </c>
      <c r="M114" s="10">
        <f>IF(G114="Sim",VLOOKUP("EA Play",Parâmetros!$A$11:$B$13,2,0),0)*K114</f>
        <v>119.76</v>
      </c>
      <c r="N114" s="10">
        <f>IF(H114="Sim",VLOOKUP("Minecraft Pass",Parâmetros!$A$11:$B$13,2,0),0)*K114</f>
        <v>95.76</v>
      </c>
      <c r="O114" s="10">
        <f>IF(I114="Sim",VLOOKUP("Call of Duty Pass",Parâmetros!$A$11:$B$13,2,0),0)*K114</f>
        <v>0</v>
      </c>
      <c r="P114" s="10">
        <f>(L114*K114+M114+N114+O114)*IF(F114="Promoção",1-Parâmetros!$B$22,1)</f>
        <v>575.28</v>
      </c>
      <c r="Q114" s="10">
        <f>Parâmetros!$B$20*K114</f>
        <v>288</v>
      </c>
      <c r="R114" s="10">
        <f>P114-Q114</f>
        <v>287.27999999999997</v>
      </c>
    </row>
    <row r="115" spans="1:18">
      <c r="A115">
        <v>114</v>
      </c>
      <c r="B115" s="8">
        <v>45448</v>
      </c>
      <c r="C115" t="s">
        <v>7</v>
      </c>
      <c r="D115" t="s">
        <v>46</v>
      </c>
      <c r="E115" t="s">
        <v>41</v>
      </c>
      <c r="F115" t="s">
        <v>42</v>
      </c>
      <c r="G115" t="s">
        <v>43</v>
      </c>
      <c r="H115" t="s">
        <v>44</v>
      </c>
      <c r="I115" t="s">
        <v>44</v>
      </c>
      <c r="J115" t="s">
        <v>49</v>
      </c>
      <c r="K115" s="9">
        <v>4</v>
      </c>
      <c r="L115" s="10">
        <f>IFERROR(VLOOKUP(C115,Parâmetros!$A$5:$D$7,IF(D115="Mensal",2,IF(D115="Trimestral",3,4)),0),0)</f>
        <v>14.99</v>
      </c>
      <c r="M115" s="10">
        <f>IF(G115="Sim",VLOOKUP("EA Play",Parâmetros!$A$11:$B$13,2,0),0)*K115</f>
        <v>19.96</v>
      </c>
      <c r="N115" s="10">
        <f>IF(H115="Sim",VLOOKUP("Minecraft Pass",Parâmetros!$A$11:$B$13,2,0),0)*K115</f>
        <v>0</v>
      </c>
      <c r="O115" s="10">
        <f>IF(I115="Sim",VLOOKUP("Call of Duty Pass",Parâmetros!$A$11:$B$13,2,0),0)*K115</f>
        <v>0</v>
      </c>
      <c r="P115" s="10">
        <f>(L115*K115+M115+N115+O115)*IF(F115="Promoção",1-Parâmetros!$B$22,1)</f>
        <v>79.92</v>
      </c>
      <c r="Q115" s="10">
        <f>Parâmetros!$B$20*K115</f>
        <v>48</v>
      </c>
      <c r="R115" s="10">
        <f>P115-Q115</f>
        <v>31.92</v>
      </c>
    </row>
    <row r="116" spans="1:18">
      <c r="A116">
        <v>115</v>
      </c>
      <c r="B116" s="8">
        <v>45892</v>
      </c>
      <c r="C116" t="s">
        <v>8</v>
      </c>
      <c r="D116" t="s">
        <v>40</v>
      </c>
      <c r="E116" t="s">
        <v>51</v>
      </c>
      <c r="F116" t="s">
        <v>48</v>
      </c>
      <c r="G116" t="s">
        <v>44</v>
      </c>
      <c r="H116" t="s">
        <v>44</v>
      </c>
      <c r="I116" t="s">
        <v>44</v>
      </c>
      <c r="J116" t="s">
        <v>45</v>
      </c>
      <c r="K116" s="9">
        <v>4</v>
      </c>
      <c r="L116" s="10">
        <f>IFERROR(VLOOKUP(C116,Parâmetros!$A$5:$D$7,IF(D116="Mensal",2,IF(D116="Trimestral",3,4)),0),0)</f>
        <v>59</v>
      </c>
      <c r="M116" s="10">
        <f>IF(G116="Sim",VLOOKUP("EA Play",Parâmetros!$A$11:$B$13,2,0),0)*K116</f>
        <v>0</v>
      </c>
      <c r="N116" s="10">
        <f>IF(H116="Sim",VLOOKUP("Minecraft Pass",Parâmetros!$A$11:$B$13,2,0),0)*K116</f>
        <v>0</v>
      </c>
      <c r="O116" s="10">
        <f>IF(I116="Sim",VLOOKUP("Call of Duty Pass",Parâmetros!$A$11:$B$13,2,0),0)*K116</f>
        <v>0</v>
      </c>
      <c r="P116" s="10">
        <f>(L116*K116+M116+N116+O116)*IF(F116="Promoção",1-Parâmetros!$B$22,1)</f>
        <v>236</v>
      </c>
      <c r="Q116" s="10">
        <f>Parâmetros!$B$20*K116</f>
        <v>48</v>
      </c>
      <c r="R116" s="10">
        <f>P116-Q116</f>
        <v>188</v>
      </c>
    </row>
    <row r="117" spans="1:18">
      <c r="A117">
        <v>116</v>
      </c>
      <c r="B117" s="8">
        <v>45586</v>
      </c>
      <c r="C117" t="s">
        <v>7</v>
      </c>
      <c r="D117" t="s">
        <v>46</v>
      </c>
      <c r="E117" t="s">
        <v>47</v>
      </c>
      <c r="F117" t="s">
        <v>42</v>
      </c>
      <c r="G117" t="s">
        <v>44</v>
      </c>
      <c r="H117" t="s">
        <v>43</v>
      </c>
      <c r="I117" t="s">
        <v>43</v>
      </c>
      <c r="J117" t="s">
        <v>45</v>
      </c>
      <c r="K117" s="9">
        <v>24</v>
      </c>
      <c r="L117" s="10">
        <f>IFERROR(VLOOKUP(C117,Parâmetros!$A$5:$D$7,IF(D117="Mensal",2,IF(D117="Trimestral",3,4)),0),0)</f>
        <v>14.99</v>
      </c>
      <c r="M117" s="10">
        <f>IF(G117="Sim",VLOOKUP("EA Play",Parâmetros!$A$11:$B$13,2,0),0)*K117</f>
        <v>0</v>
      </c>
      <c r="N117" s="10">
        <f>IF(H117="Sim",VLOOKUP("Minecraft Pass",Parâmetros!$A$11:$B$13,2,0),0)*K117</f>
        <v>95.76</v>
      </c>
      <c r="O117" s="10">
        <f>IF(I117="Sim",VLOOKUP("Call of Duty Pass",Parâmetros!$A$11:$B$13,2,0),0)*K117</f>
        <v>167.76</v>
      </c>
      <c r="P117" s="10">
        <f>(L117*K117+M117+N117+O117)*IF(F117="Promoção",1-Parâmetros!$B$22,1)</f>
        <v>623.28</v>
      </c>
      <c r="Q117" s="10">
        <f>Parâmetros!$B$20*K117</f>
        <v>288</v>
      </c>
      <c r="R117" s="10">
        <f>P117-Q117</f>
        <v>335.28</v>
      </c>
    </row>
    <row r="118" spans="1:18">
      <c r="A118">
        <v>117</v>
      </c>
      <c r="B118" s="8">
        <v>45409</v>
      </c>
      <c r="C118" t="s">
        <v>8</v>
      </c>
      <c r="D118" t="s">
        <v>40</v>
      </c>
      <c r="E118" t="s">
        <v>51</v>
      </c>
      <c r="F118" t="s">
        <v>54</v>
      </c>
      <c r="G118" t="s">
        <v>44</v>
      </c>
      <c r="H118" t="s">
        <v>44</v>
      </c>
      <c r="I118" t="s">
        <v>44</v>
      </c>
      <c r="J118" t="s">
        <v>45</v>
      </c>
      <c r="K118" s="9">
        <v>2</v>
      </c>
      <c r="L118" s="10">
        <f>IFERROR(VLOOKUP(C118,Parâmetros!$A$5:$D$7,IF(D118="Mensal",2,IF(D118="Trimestral",3,4)),0),0)</f>
        <v>59</v>
      </c>
      <c r="M118" s="10">
        <f>IF(G118="Sim",VLOOKUP("EA Play",Parâmetros!$A$11:$B$13,2,0),0)*K118</f>
        <v>0</v>
      </c>
      <c r="N118" s="10">
        <f>IF(H118="Sim",VLOOKUP("Minecraft Pass",Parâmetros!$A$11:$B$13,2,0),0)*K118</f>
        <v>0</v>
      </c>
      <c r="O118" s="10">
        <f>IF(I118="Sim",VLOOKUP("Call of Duty Pass",Parâmetros!$A$11:$B$13,2,0),0)*K118</f>
        <v>0</v>
      </c>
      <c r="P118" s="10">
        <f>(L118*K118+M118+N118+O118)*IF(F118="Promoção",1-Parâmetros!$B$22,1)</f>
        <v>106.2</v>
      </c>
      <c r="Q118" s="10">
        <f>Parâmetros!$B$20*K118</f>
        <v>24</v>
      </c>
      <c r="R118" s="10">
        <f>P118-Q118</f>
        <v>82.2</v>
      </c>
    </row>
    <row r="119" spans="1:18">
      <c r="A119">
        <v>118</v>
      </c>
      <c r="B119" s="8">
        <v>45915</v>
      </c>
      <c r="C119" t="s">
        <v>8</v>
      </c>
      <c r="D119" t="s">
        <v>50</v>
      </c>
      <c r="E119" t="s">
        <v>41</v>
      </c>
      <c r="F119" t="s">
        <v>42</v>
      </c>
      <c r="G119" t="s">
        <v>44</v>
      </c>
      <c r="H119" t="s">
        <v>43</v>
      </c>
      <c r="I119" t="s">
        <v>44</v>
      </c>
      <c r="J119" t="s">
        <v>49</v>
      </c>
      <c r="K119" s="9">
        <v>10</v>
      </c>
      <c r="L119" s="10">
        <f>IFERROR(VLOOKUP(C119,Parâmetros!$A$5:$D$7,IF(D119="Mensal",2,IF(D119="Trimestral",3,4)),0),0)</f>
        <v>219</v>
      </c>
      <c r="M119" s="10">
        <f>IF(G119="Sim",VLOOKUP("EA Play",Parâmetros!$A$11:$B$13,2,0),0)*K119</f>
        <v>0</v>
      </c>
      <c r="N119" s="10">
        <f>IF(H119="Sim",VLOOKUP("Minecraft Pass",Parâmetros!$A$11:$B$13,2,0),0)*K119</f>
        <v>39.900000000000006</v>
      </c>
      <c r="O119" s="10">
        <f>IF(I119="Sim",VLOOKUP("Call of Duty Pass",Parâmetros!$A$11:$B$13,2,0),0)*K119</f>
        <v>0</v>
      </c>
      <c r="P119" s="10">
        <f>(L119*K119+M119+N119+O119)*IF(F119="Promoção",1-Parâmetros!$B$22,1)</f>
        <v>2229.9</v>
      </c>
      <c r="Q119" s="10">
        <f>Parâmetros!$B$20*K119</f>
        <v>120</v>
      </c>
      <c r="R119" s="10">
        <f>P119-Q119</f>
        <v>2109.9</v>
      </c>
    </row>
    <row r="120" spans="1:18">
      <c r="A120">
        <v>119</v>
      </c>
      <c r="B120" s="8">
        <v>45871</v>
      </c>
      <c r="C120" t="s">
        <v>7</v>
      </c>
      <c r="D120" t="s">
        <v>46</v>
      </c>
      <c r="E120" t="s">
        <v>51</v>
      </c>
      <c r="F120" t="s">
        <v>54</v>
      </c>
      <c r="G120" t="s">
        <v>43</v>
      </c>
      <c r="H120" t="s">
        <v>44</v>
      </c>
      <c r="I120" t="s">
        <v>44</v>
      </c>
      <c r="J120" t="s">
        <v>49</v>
      </c>
      <c r="K120" s="9">
        <v>11</v>
      </c>
      <c r="L120" s="10">
        <f>IFERROR(VLOOKUP(C120,Parâmetros!$A$5:$D$7,IF(D120="Mensal",2,IF(D120="Trimestral",3,4)),0),0)</f>
        <v>14.99</v>
      </c>
      <c r="M120" s="10">
        <f>IF(G120="Sim",VLOOKUP("EA Play",Parâmetros!$A$11:$B$13,2,0),0)*K120</f>
        <v>54.89</v>
      </c>
      <c r="N120" s="10">
        <f>IF(H120="Sim",VLOOKUP("Minecraft Pass",Parâmetros!$A$11:$B$13,2,0),0)*K120</f>
        <v>0</v>
      </c>
      <c r="O120" s="10">
        <f>IF(I120="Sim",VLOOKUP("Call of Duty Pass",Parâmetros!$A$11:$B$13,2,0),0)*K120</f>
        <v>0</v>
      </c>
      <c r="P120" s="10">
        <f>(L120*K120+M120+N120+O120)*IF(F120="Promoção",1-Parâmetros!$B$22,1)</f>
        <v>197.80200000000002</v>
      </c>
      <c r="Q120" s="10">
        <f>Parâmetros!$B$20*K120</f>
        <v>132</v>
      </c>
      <c r="R120" s="10">
        <f>P120-Q120</f>
        <v>65.802000000000021</v>
      </c>
    </row>
    <row r="121" spans="1:18">
      <c r="A121">
        <v>120</v>
      </c>
      <c r="B121" s="8">
        <v>45670</v>
      </c>
      <c r="C121" t="s">
        <v>6</v>
      </c>
      <c r="D121" t="s">
        <v>46</v>
      </c>
      <c r="E121" t="s">
        <v>53</v>
      </c>
      <c r="F121" t="s">
        <v>48</v>
      </c>
      <c r="G121" t="s">
        <v>44</v>
      </c>
      <c r="H121" t="s">
        <v>43</v>
      </c>
      <c r="I121" t="s">
        <v>44</v>
      </c>
      <c r="J121" t="s">
        <v>49</v>
      </c>
      <c r="K121" s="9">
        <v>6</v>
      </c>
      <c r="L121" s="10">
        <f>IFERROR(VLOOKUP(C121,Parâmetros!$A$5:$D$7,IF(D121="Mensal",2,IF(D121="Trimestral",3,4)),0),0)</f>
        <v>9.99</v>
      </c>
      <c r="M121" s="10">
        <f>IF(G121="Sim",VLOOKUP("EA Play",Parâmetros!$A$11:$B$13,2,0),0)*K121</f>
        <v>0</v>
      </c>
      <c r="N121" s="10">
        <f>IF(H121="Sim",VLOOKUP("Minecraft Pass",Parâmetros!$A$11:$B$13,2,0),0)*K121</f>
        <v>23.94</v>
      </c>
      <c r="O121" s="10">
        <f>IF(I121="Sim",VLOOKUP("Call of Duty Pass",Parâmetros!$A$11:$B$13,2,0),0)*K121</f>
        <v>0</v>
      </c>
      <c r="P121" s="10">
        <f>(L121*K121+M121+N121+O121)*IF(F121="Promoção",1-Parâmetros!$B$22,1)</f>
        <v>83.88</v>
      </c>
      <c r="Q121" s="10">
        <f>Parâmetros!$B$20*K121</f>
        <v>72</v>
      </c>
      <c r="R121" s="10">
        <f>P121-Q121</f>
        <v>11.879999999999995</v>
      </c>
    </row>
    <row r="122" spans="1:18">
      <c r="A122">
        <v>121</v>
      </c>
      <c r="B122" s="8">
        <v>45570</v>
      </c>
      <c r="C122" t="s">
        <v>7</v>
      </c>
      <c r="D122" t="s">
        <v>46</v>
      </c>
      <c r="E122" t="s">
        <v>47</v>
      </c>
      <c r="F122" t="s">
        <v>48</v>
      </c>
      <c r="G122" t="s">
        <v>43</v>
      </c>
      <c r="H122" t="s">
        <v>44</v>
      </c>
      <c r="I122" t="s">
        <v>44</v>
      </c>
      <c r="J122" t="s">
        <v>49</v>
      </c>
      <c r="K122" s="9">
        <v>32</v>
      </c>
      <c r="L122" s="10">
        <f>IFERROR(VLOOKUP(C122,Parâmetros!$A$5:$D$7,IF(D122="Mensal",2,IF(D122="Trimestral",3,4)),0),0)</f>
        <v>14.99</v>
      </c>
      <c r="M122" s="10">
        <f>IF(G122="Sim",VLOOKUP("EA Play",Parâmetros!$A$11:$B$13,2,0),0)*K122</f>
        <v>159.68</v>
      </c>
      <c r="N122" s="10">
        <f>IF(H122="Sim",VLOOKUP("Minecraft Pass",Parâmetros!$A$11:$B$13,2,0),0)*K122</f>
        <v>0</v>
      </c>
      <c r="O122" s="10">
        <f>IF(I122="Sim",VLOOKUP("Call of Duty Pass",Parâmetros!$A$11:$B$13,2,0),0)*K122</f>
        <v>0</v>
      </c>
      <c r="P122" s="10">
        <f>(L122*K122+M122+N122+O122)*IF(F122="Promoção",1-Parâmetros!$B$22,1)</f>
        <v>639.36</v>
      </c>
      <c r="Q122" s="10">
        <f>Parâmetros!$B$20*K122</f>
        <v>384</v>
      </c>
      <c r="R122" s="10">
        <f>P122-Q122</f>
        <v>255.36</v>
      </c>
    </row>
    <row r="123" spans="1:18">
      <c r="A123">
        <v>122</v>
      </c>
      <c r="B123" s="8">
        <v>45831</v>
      </c>
      <c r="C123" t="s">
        <v>7</v>
      </c>
      <c r="D123" t="s">
        <v>46</v>
      </c>
      <c r="E123" t="s">
        <v>41</v>
      </c>
      <c r="F123" t="s">
        <v>48</v>
      </c>
      <c r="G123" t="s">
        <v>43</v>
      </c>
      <c r="H123" t="s">
        <v>43</v>
      </c>
      <c r="I123" t="s">
        <v>43</v>
      </c>
      <c r="J123" t="s">
        <v>49</v>
      </c>
      <c r="K123" s="9">
        <v>17</v>
      </c>
      <c r="L123" s="10">
        <f>IFERROR(VLOOKUP(C123,Parâmetros!$A$5:$D$7,IF(D123="Mensal",2,IF(D123="Trimestral",3,4)),0),0)</f>
        <v>14.99</v>
      </c>
      <c r="M123" s="10">
        <f>IF(G123="Sim",VLOOKUP("EA Play",Parâmetros!$A$11:$B$13,2,0),0)*K123</f>
        <v>84.83</v>
      </c>
      <c r="N123" s="10">
        <f>IF(H123="Sim",VLOOKUP("Minecraft Pass",Parâmetros!$A$11:$B$13,2,0),0)*K123</f>
        <v>67.83</v>
      </c>
      <c r="O123" s="10">
        <f>IF(I123="Sim",VLOOKUP("Call of Duty Pass",Parâmetros!$A$11:$B$13,2,0),0)*K123</f>
        <v>118.83</v>
      </c>
      <c r="P123" s="10">
        <f>(L123*K123+M123+N123+O123)*IF(F123="Promoção",1-Parâmetros!$B$22,1)</f>
        <v>526.32000000000005</v>
      </c>
      <c r="Q123" s="10">
        <f>Parâmetros!$B$20*K123</f>
        <v>204</v>
      </c>
      <c r="R123" s="10">
        <f>P123-Q123</f>
        <v>322.32000000000005</v>
      </c>
    </row>
    <row r="124" spans="1:18">
      <c r="A124">
        <v>123</v>
      </c>
      <c r="B124" s="8">
        <v>45588</v>
      </c>
      <c r="C124" t="s">
        <v>6</v>
      </c>
      <c r="D124" t="s">
        <v>46</v>
      </c>
      <c r="E124" t="s">
        <v>51</v>
      </c>
      <c r="F124" t="s">
        <v>42</v>
      </c>
      <c r="G124" t="s">
        <v>43</v>
      </c>
      <c r="H124" t="s">
        <v>44</v>
      </c>
      <c r="I124" t="s">
        <v>44</v>
      </c>
      <c r="J124" t="s">
        <v>45</v>
      </c>
      <c r="K124" s="9">
        <v>23</v>
      </c>
      <c r="L124" s="10">
        <f>IFERROR(VLOOKUP(C124,Parâmetros!$A$5:$D$7,IF(D124="Mensal",2,IF(D124="Trimestral",3,4)),0),0)</f>
        <v>9.99</v>
      </c>
      <c r="M124" s="10">
        <f>IF(G124="Sim",VLOOKUP("EA Play",Parâmetros!$A$11:$B$13,2,0),0)*K124</f>
        <v>114.77000000000001</v>
      </c>
      <c r="N124" s="10">
        <f>IF(H124="Sim",VLOOKUP("Minecraft Pass",Parâmetros!$A$11:$B$13,2,0),0)*K124</f>
        <v>0</v>
      </c>
      <c r="O124" s="10">
        <f>IF(I124="Sim",VLOOKUP("Call of Duty Pass",Parâmetros!$A$11:$B$13,2,0),0)*K124</f>
        <v>0</v>
      </c>
      <c r="P124" s="10">
        <f>(L124*K124+M124+N124+O124)*IF(F124="Promoção",1-Parâmetros!$B$22,1)</f>
        <v>344.54</v>
      </c>
      <c r="Q124" s="10">
        <f>Parâmetros!$B$20*K124</f>
        <v>276</v>
      </c>
      <c r="R124" s="10">
        <f>P124-Q124</f>
        <v>68.54000000000002</v>
      </c>
    </row>
    <row r="125" spans="1:18">
      <c r="A125">
        <v>124</v>
      </c>
      <c r="B125" s="8">
        <v>45365</v>
      </c>
      <c r="C125" t="s">
        <v>6</v>
      </c>
      <c r="D125" t="s">
        <v>40</v>
      </c>
      <c r="E125" t="s">
        <v>47</v>
      </c>
      <c r="F125" t="s">
        <v>48</v>
      </c>
      <c r="G125" t="s">
        <v>43</v>
      </c>
      <c r="H125" t="s">
        <v>43</v>
      </c>
      <c r="I125" t="s">
        <v>44</v>
      </c>
      <c r="J125" t="s">
        <v>49</v>
      </c>
      <c r="K125" s="9">
        <v>27</v>
      </c>
      <c r="L125" s="10">
        <f>IFERROR(VLOOKUP(C125,Parâmetros!$A$5:$D$7,IF(D125="Mensal",2,IF(D125="Trimestral",3,4)),0),0)</f>
        <v>27</v>
      </c>
      <c r="M125" s="10">
        <f>IF(G125="Sim",VLOOKUP("EA Play",Parâmetros!$A$11:$B$13,2,0),0)*K125</f>
        <v>134.73000000000002</v>
      </c>
      <c r="N125" s="10">
        <f>IF(H125="Sim",VLOOKUP("Minecraft Pass",Parâmetros!$A$11:$B$13,2,0),0)*K125</f>
        <v>107.73</v>
      </c>
      <c r="O125" s="10">
        <f>IF(I125="Sim",VLOOKUP("Call of Duty Pass",Parâmetros!$A$11:$B$13,2,0),0)*K125</f>
        <v>0</v>
      </c>
      <c r="P125" s="10">
        <f>(L125*K125+M125+N125+O125)*IF(F125="Promoção",1-Parâmetros!$B$22,1)</f>
        <v>971.46</v>
      </c>
      <c r="Q125" s="10">
        <f>Parâmetros!$B$20*K125</f>
        <v>324</v>
      </c>
      <c r="R125" s="10">
        <f>P125-Q125</f>
        <v>647.46</v>
      </c>
    </row>
    <row r="126" spans="1:18">
      <c r="A126">
        <v>125</v>
      </c>
      <c r="B126" s="8">
        <v>45588</v>
      </c>
      <c r="C126" t="s">
        <v>6</v>
      </c>
      <c r="D126" t="s">
        <v>46</v>
      </c>
      <c r="E126" t="s">
        <v>41</v>
      </c>
      <c r="F126" t="s">
        <v>54</v>
      </c>
      <c r="G126" t="s">
        <v>44</v>
      </c>
      <c r="H126" t="s">
        <v>44</v>
      </c>
      <c r="I126" t="s">
        <v>44</v>
      </c>
      <c r="J126" t="s">
        <v>49</v>
      </c>
      <c r="K126" s="9">
        <v>7</v>
      </c>
      <c r="L126" s="10">
        <f>IFERROR(VLOOKUP(C126,Parâmetros!$A$5:$D$7,IF(D126="Mensal",2,IF(D126="Trimestral",3,4)),0),0)</f>
        <v>9.99</v>
      </c>
      <c r="M126" s="10">
        <f>IF(G126="Sim",VLOOKUP("EA Play",Parâmetros!$A$11:$B$13,2,0),0)*K126</f>
        <v>0</v>
      </c>
      <c r="N126" s="10">
        <f>IF(H126="Sim",VLOOKUP("Minecraft Pass",Parâmetros!$A$11:$B$13,2,0),0)*K126</f>
        <v>0</v>
      </c>
      <c r="O126" s="10">
        <f>IF(I126="Sim",VLOOKUP("Call of Duty Pass",Parâmetros!$A$11:$B$13,2,0),0)*K126</f>
        <v>0</v>
      </c>
      <c r="P126" s="10">
        <f>(L126*K126+M126+N126+O126)*IF(F126="Promoção",1-Parâmetros!$B$22,1)</f>
        <v>62.937000000000005</v>
      </c>
      <c r="Q126" s="10">
        <f>Parâmetros!$B$20*K126</f>
        <v>84</v>
      </c>
      <c r="R126" s="10">
        <f>P126-Q126</f>
        <v>-21.062999999999995</v>
      </c>
    </row>
    <row r="127" spans="1:18">
      <c r="A127">
        <v>126</v>
      </c>
      <c r="B127" s="8">
        <v>45541</v>
      </c>
      <c r="C127" t="s">
        <v>7</v>
      </c>
      <c r="D127" t="s">
        <v>46</v>
      </c>
      <c r="E127" t="s">
        <v>41</v>
      </c>
      <c r="F127" t="s">
        <v>54</v>
      </c>
      <c r="G127" t="s">
        <v>44</v>
      </c>
      <c r="H127" t="s">
        <v>43</v>
      </c>
      <c r="I127" t="s">
        <v>44</v>
      </c>
      <c r="J127" t="s">
        <v>49</v>
      </c>
      <c r="K127" s="9">
        <v>8</v>
      </c>
      <c r="L127" s="10">
        <f>IFERROR(VLOOKUP(C127,Parâmetros!$A$5:$D$7,IF(D127="Mensal",2,IF(D127="Trimestral",3,4)),0),0)</f>
        <v>14.99</v>
      </c>
      <c r="M127" s="10">
        <f>IF(G127="Sim",VLOOKUP("EA Play",Parâmetros!$A$11:$B$13,2,0),0)*K127</f>
        <v>0</v>
      </c>
      <c r="N127" s="10">
        <f>IF(H127="Sim",VLOOKUP("Minecraft Pass",Parâmetros!$A$11:$B$13,2,0),0)*K127</f>
        <v>31.92</v>
      </c>
      <c r="O127" s="10">
        <f>IF(I127="Sim",VLOOKUP("Call of Duty Pass",Parâmetros!$A$11:$B$13,2,0),0)*K127</f>
        <v>0</v>
      </c>
      <c r="P127" s="10">
        <f>(L127*K127+M127+N127+O127)*IF(F127="Promoção",1-Parâmetros!$B$22,1)</f>
        <v>136.65600000000001</v>
      </c>
      <c r="Q127" s="10">
        <f>Parâmetros!$B$20*K127</f>
        <v>96</v>
      </c>
      <c r="R127" s="10">
        <f>P127-Q127</f>
        <v>40.656000000000006</v>
      </c>
    </row>
    <row r="128" spans="1:18">
      <c r="A128">
        <v>127</v>
      </c>
      <c r="B128" s="8">
        <v>45835</v>
      </c>
      <c r="C128" t="s">
        <v>7</v>
      </c>
      <c r="D128" t="s">
        <v>50</v>
      </c>
      <c r="E128" t="s">
        <v>41</v>
      </c>
      <c r="F128" t="s">
        <v>52</v>
      </c>
      <c r="G128" t="s">
        <v>44</v>
      </c>
      <c r="H128" t="s">
        <v>44</v>
      </c>
      <c r="I128" t="s">
        <v>43</v>
      </c>
      <c r="J128" t="s">
        <v>49</v>
      </c>
      <c r="K128" s="9">
        <v>13</v>
      </c>
      <c r="L128" s="10">
        <f>IFERROR(VLOOKUP(C128,Parâmetros!$A$5:$D$7,IF(D128="Mensal",2,IF(D128="Trimestral",3,4)),0),0)</f>
        <v>149</v>
      </c>
      <c r="M128" s="10">
        <f>IF(G128="Sim",VLOOKUP("EA Play",Parâmetros!$A$11:$B$13,2,0),0)*K128</f>
        <v>0</v>
      </c>
      <c r="N128" s="10">
        <f>IF(H128="Sim",VLOOKUP("Minecraft Pass",Parâmetros!$A$11:$B$13,2,0),0)*K128</f>
        <v>0</v>
      </c>
      <c r="O128" s="10">
        <f>IF(I128="Sim",VLOOKUP("Call of Duty Pass",Parâmetros!$A$11:$B$13,2,0),0)*K128</f>
        <v>90.87</v>
      </c>
      <c r="P128" s="10">
        <f>(L128*K128+M128+N128+O128)*IF(F128="Promoção",1-Parâmetros!$B$22,1)</f>
        <v>2027.87</v>
      </c>
      <c r="Q128" s="10">
        <f>Parâmetros!$B$20*K128</f>
        <v>156</v>
      </c>
      <c r="R128" s="10">
        <f>P128-Q128</f>
        <v>1871.87</v>
      </c>
    </row>
    <row r="129" spans="1:18">
      <c r="A129">
        <v>128</v>
      </c>
      <c r="B129" s="8">
        <v>45469</v>
      </c>
      <c r="C129" t="s">
        <v>7</v>
      </c>
      <c r="D129" t="s">
        <v>40</v>
      </c>
      <c r="E129" t="s">
        <v>51</v>
      </c>
      <c r="F129" t="s">
        <v>42</v>
      </c>
      <c r="G129" t="s">
        <v>44</v>
      </c>
      <c r="H129" t="s">
        <v>44</v>
      </c>
      <c r="I129" t="s">
        <v>44</v>
      </c>
      <c r="J129" t="s">
        <v>45</v>
      </c>
      <c r="K129" s="9">
        <v>29</v>
      </c>
      <c r="L129" s="10">
        <f>IFERROR(VLOOKUP(C129,Parâmetros!$A$5:$D$7,IF(D129="Mensal",2,IF(D129="Trimestral",3,4)),0),0)</f>
        <v>40</v>
      </c>
      <c r="M129" s="10">
        <f>IF(G129="Sim",VLOOKUP("EA Play",Parâmetros!$A$11:$B$13,2,0),0)*K129</f>
        <v>0</v>
      </c>
      <c r="N129" s="10">
        <f>IF(H129="Sim",VLOOKUP("Minecraft Pass",Parâmetros!$A$11:$B$13,2,0),0)*K129</f>
        <v>0</v>
      </c>
      <c r="O129" s="10">
        <f>IF(I129="Sim",VLOOKUP("Call of Duty Pass",Parâmetros!$A$11:$B$13,2,0),0)*K129</f>
        <v>0</v>
      </c>
      <c r="P129" s="10">
        <f>(L129*K129+M129+N129+O129)*IF(F129="Promoção",1-Parâmetros!$B$22,1)</f>
        <v>1160</v>
      </c>
      <c r="Q129" s="10">
        <f>Parâmetros!$B$20*K129</f>
        <v>348</v>
      </c>
      <c r="R129" s="10">
        <f>P129-Q129</f>
        <v>812</v>
      </c>
    </row>
    <row r="130" spans="1:18">
      <c r="A130">
        <v>129</v>
      </c>
      <c r="B130" s="8">
        <v>45989</v>
      </c>
      <c r="C130" t="s">
        <v>8</v>
      </c>
      <c r="D130" t="s">
        <v>40</v>
      </c>
      <c r="E130" t="s">
        <v>47</v>
      </c>
      <c r="F130" t="s">
        <v>52</v>
      </c>
      <c r="G130" t="s">
        <v>44</v>
      </c>
      <c r="H130" t="s">
        <v>44</v>
      </c>
      <c r="I130" t="s">
        <v>43</v>
      </c>
      <c r="J130" t="s">
        <v>49</v>
      </c>
      <c r="K130" s="9">
        <v>29</v>
      </c>
      <c r="L130" s="10">
        <f>IFERROR(VLOOKUP(C130,Parâmetros!$A$5:$D$7,IF(D130="Mensal",2,IF(D130="Trimestral",3,4)),0),0)</f>
        <v>59</v>
      </c>
      <c r="M130" s="10">
        <f>IF(G130="Sim",VLOOKUP("EA Play",Parâmetros!$A$11:$B$13,2,0),0)*K130</f>
        <v>0</v>
      </c>
      <c r="N130" s="10">
        <f>IF(H130="Sim",VLOOKUP("Minecraft Pass",Parâmetros!$A$11:$B$13,2,0),0)*K130</f>
        <v>0</v>
      </c>
      <c r="O130" s="10">
        <f>IF(I130="Sim",VLOOKUP("Call of Duty Pass",Parâmetros!$A$11:$B$13,2,0),0)*K130</f>
        <v>202.71</v>
      </c>
      <c r="P130" s="10">
        <f>(L130*K130+M130+N130+O130)*IF(F130="Promoção",1-Parâmetros!$B$22,1)</f>
        <v>1913.71</v>
      </c>
      <c r="Q130" s="10">
        <f>Parâmetros!$B$20*K130</f>
        <v>348</v>
      </c>
      <c r="R130" s="10">
        <f>P130-Q130</f>
        <v>1565.71</v>
      </c>
    </row>
    <row r="131" spans="1:18">
      <c r="A131">
        <v>130</v>
      </c>
      <c r="B131" s="8">
        <v>45938</v>
      </c>
      <c r="C131" t="s">
        <v>6</v>
      </c>
      <c r="D131" t="s">
        <v>46</v>
      </c>
      <c r="E131" t="s">
        <v>41</v>
      </c>
      <c r="F131" t="s">
        <v>48</v>
      </c>
      <c r="G131" t="s">
        <v>43</v>
      </c>
      <c r="H131" t="s">
        <v>44</v>
      </c>
      <c r="I131" t="s">
        <v>43</v>
      </c>
      <c r="J131" t="s">
        <v>45</v>
      </c>
      <c r="K131" s="9">
        <v>5</v>
      </c>
      <c r="L131" s="10">
        <f>IFERROR(VLOOKUP(C131,Parâmetros!$A$5:$D$7,IF(D131="Mensal",2,IF(D131="Trimestral",3,4)),0),0)</f>
        <v>9.99</v>
      </c>
      <c r="M131" s="10">
        <f>IF(G131="Sim",VLOOKUP("EA Play",Parâmetros!$A$11:$B$13,2,0),0)*K131</f>
        <v>24.950000000000003</v>
      </c>
      <c r="N131" s="10">
        <f>IF(H131="Sim",VLOOKUP("Minecraft Pass",Parâmetros!$A$11:$B$13,2,0),0)*K131</f>
        <v>0</v>
      </c>
      <c r="O131" s="10">
        <f>IF(I131="Sim",VLOOKUP("Call of Duty Pass",Parâmetros!$A$11:$B$13,2,0),0)*K131</f>
        <v>34.950000000000003</v>
      </c>
      <c r="P131" s="10">
        <f>(L131*K131+M131+N131+O131)*IF(F131="Promoção",1-Parâmetros!$B$22,1)</f>
        <v>109.85000000000001</v>
      </c>
      <c r="Q131" s="10">
        <f>Parâmetros!$B$20*K131</f>
        <v>60</v>
      </c>
      <c r="R131" s="10">
        <f>P131-Q131</f>
        <v>49.850000000000009</v>
      </c>
    </row>
    <row r="132" spans="1:18">
      <c r="A132">
        <v>131</v>
      </c>
      <c r="B132" s="8">
        <v>45952</v>
      </c>
      <c r="C132" t="s">
        <v>8</v>
      </c>
      <c r="D132" t="s">
        <v>50</v>
      </c>
      <c r="E132" t="s">
        <v>47</v>
      </c>
      <c r="F132" t="s">
        <v>48</v>
      </c>
      <c r="G132" t="s">
        <v>44</v>
      </c>
      <c r="H132" t="s">
        <v>44</v>
      </c>
      <c r="I132" t="s">
        <v>44</v>
      </c>
      <c r="J132" t="s">
        <v>45</v>
      </c>
      <c r="K132" s="9">
        <v>29</v>
      </c>
      <c r="L132" s="10">
        <f>IFERROR(VLOOKUP(C132,Parâmetros!$A$5:$D$7,IF(D132="Mensal",2,IF(D132="Trimestral",3,4)),0),0)</f>
        <v>219</v>
      </c>
      <c r="M132" s="10">
        <f>IF(G132="Sim",VLOOKUP("EA Play",Parâmetros!$A$11:$B$13,2,0),0)*K132</f>
        <v>0</v>
      </c>
      <c r="N132" s="10">
        <f>IF(H132="Sim",VLOOKUP("Minecraft Pass",Parâmetros!$A$11:$B$13,2,0),0)*K132</f>
        <v>0</v>
      </c>
      <c r="O132" s="10">
        <f>IF(I132="Sim",VLOOKUP("Call of Duty Pass",Parâmetros!$A$11:$B$13,2,0),0)*K132</f>
        <v>0</v>
      </c>
      <c r="P132" s="10">
        <f>(L132*K132+M132+N132+O132)*IF(F132="Promoção",1-Parâmetros!$B$22,1)</f>
        <v>6351</v>
      </c>
      <c r="Q132" s="10">
        <f>Parâmetros!$B$20*K132</f>
        <v>348</v>
      </c>
      <c r="R132" s="10">
        <f>P132-Q132</f>
        <v>6003</v>
      </c>
    </row>
    <row r="133" spans="1:18">
      <c r="A133">
        <v>132</v>
      </c>
      <c r="B133" s="8">
        <v>45877</v>
      </c>
      <c r="C133" t="s">
        <v>7</v>
      </c>
      <c r="D133" t="s">
        <v>46</v>
      </c>
      <c r="E133" t="s">
        <v>47</v>
      </c>
      <c r="F133" t="s">
        <v>42</v>
      </c>
      <c r="G133" t="s">
        <v>43</v>
      </c>
      <c r="H133" t="s">
        <v>43</v>
      </c>
      <c r="I133" t="s">
        <v>44</v>
      </c>
      <c r="J133" t="s">
        <v>49</v>
      </c>
      <c r="K133" s="9">
        <v>6</v>
      </c>
      <c r="L133" s="10">
        <f>IFERROR(VLOOKUP(C133,Parâmetros!$A$5:$D$7,IF(D133="Mensal",2,IF(D133="Trimestral",3,4)),0),0)</f>
        <v>14.99</v>
      </c>
      <c r="M133" s="10">
        <f>IF(G133="Sim",VLOOKUP("EA Play",Parâmetros!$A$11:$B$13,2,0),0)*K133</f>
        <v>29.94</v>
      </c>
      <c r="N133" s="10">
        <f>IF(H133="Sim",VLOOKUP("Minecraft Pass",Parâmetros!$A$11:$B$13,2,0),0)*K133</f>
        <v>23.94</v>
      </c>
      <c r="O133" s="10">
        <f>IF(I133="Sim",VLOOKUP("Call of Duty Pass",Parâmetros!$A$11:$B$13,2,0),0)*K133</f>
        <v>0</v>
      </c>
      <c r="P133" s="10">
        <f>(L133*K133+M133+N133+O133)*IF(F133="Promoção",1-Parâmetros!$B$22,1)</f>
        <v>143.82</v>
      </c>
      <c r="Q133" s="10">
        <f>Parâmetros!$B$20*K133</f>
        <v>72</v>
      </c>
      <c r="R133" s="10">
        <f>P133-Q133</f>
        <v>71.819999999999993</v>
      </c>
    </row>
    <row r="134" spans="1:18">
      <c r="A134">
        <v>133</v>
      </c>
      <c r="B134" s="8">
        <v>45808</v>
      </c>
      <c r="C134" t="s">
        <v>7</v>
      </c>
      <c r="D134" t="s">
        <v>46</v>
      </c>
      <c r="E134" t="s">
        <v>51</v>
      </c>
      <c r="F134" t="s">
        <v>54</v>
      </c>
      <c r="G134" t="s">
        <v>44</v>
      </c>
      <c r="H134" t="s">
        <v>44</v>
      </c>
      <c r="I134" t="s">
        <v>44</v>
      </c>
      <c r="J134" t="s">
        <v>45</v>
      </c>
      <c r="K134" s="9">
        <v>25</v>
      </c>
      <c r="L134" s="10">
        <f>IFERROR(VLOOKUP(C134,Parâmetros!$A$5:$D$7,IF(D134="Mensal",2,IF(D134="Trimestral",3,4)),0),0)</f>
        <v>14.99</v>
      </c>
      <c r="M134" s="10">
        <f>IF(G134="Sim",VLOOKUP("EA Play",Parâmetros!$A$11:$B$13,2,0),0)*K134</f>
        <v>0</v>
      </c>
      <c r="N134" s="10">
        <f>IF(H134="Sim",VLOOKUP("Minecraft Pass",Parâmetros!$A$11:$B$13,2,0),0)*K134</f>
        <v>0</v>
      </c>
      <c r="O134" s="10">
        <f>IF(I134="Sim",VLOOKUP("Call of Duty Pass",Parâmetros!$A$11:$B$13,2,0),0)*K134</f>
        <v>0</v>
      </c>
      <c r="P134" s="10">
        <f>(L134*K134+M134+N134+O134)*IF(F134="Promoção",1-Parâmetros!$B$22,1)</f>
        <v>337.27500000000003</v>
      </c>
      <c r="Q134" s="10">
        <f>Parâmetros!$B$20*K134</f>
        <v>300</v>
      </c>
      <c r="R134" s="10">
        <f>P134-Q134</f>
        <v>37.275000000000034</v>
      </c>
    </row>
    <row r="135" spans="1:18">
      <c r="A135">
        <v>134</v>
      </c>
      <c r="B135" s="8">
        <v>45710</v>
      </c>
      <c r="C135" t="s">
        <v>8</v>
      </c>
      <c r="D135" t="s">
        <v>40</v>
      </c>
      <c r="E135" t="s">
        <v>41</v>
      </c>
      <c r="F135" t="s">
        <v>52</v>
      </c>
      <c r="G135" t="s">
        <v>43</v>
      </c>
      <c r="H135" t="s">
        <v>43</v>
      </c>
      <c r="I135" t="s">
        <v>44</v>
      </c>
      <c r="J135" t="s">
        <v>49</v>
      </c>
      <c r="K135" s="9">
        <v>17</v>
      </c>
      <c r="L135" s="10">
        <f>IFERROR(VLOOKUP(C135,Parâmetros!$A$5:$D$7,IF(D135="Mensal",2,IF(D135="Trimestral",3,4)),0),0)</f>
        <v>59</v>
      </c>
      <c r="M135" s="10">
        <f>IF(G135="Sim",VLOOKUP("EA Play",Parâmetros!$A$11:$B$13,2,0),0)*K135</f>
        <v>84.83</v>
      </c>
      <c r="N135" s="10">
        <f>IF(H135="Sim",VLOOKUP("Minecraft Pass",Parâmetros!$A$11:$B$13,2,0),0)*K135</f>
        <v>67.83</v>
      </c>
      <c r="O135" s="10">
        <f>IF(I135="Sim",VLOOKUP("Call of Duty Pass",Parâmetros!$A$11:$B$13,2,0),0)*K135</f>
        <v>0</v>
      </c>
      <c r="P135" s="10">
        <f>(L135*K135+M135+N135+O135)*IF(F135="Promoção",1-Parâmetros!$B$22,1)</f>
        <v>1155.6599999999999</v>
      </c>
      <c r="Q135" s="10">
        <f>Parâmetros!$B$20*K135</f>
        <v>204</v>
      </c>
      <c r="R135" s="10">
        <f>P135-Q135</f>
        <v>951.65999999999985</v>
      </c>
    </row>
    <row r="136" spans="1:18">
      <c r="A136">
        <v>135</v>
      </c>
      <c r="B136" s="8">
        <v>45964</v>
      </c>
      <c r="C136" t="s">
        <v>8</v>
      </c>
      <c r="D136" t="s">
        <v>40</v>
      </c>
      <c r="E136" t="s">
        <v>41</v>
      </c>
      <c r="F136" t="s">
        <v>42</v>
      </c>
      <c r="G136" t="s">
        <v>44</v>
      </c>
      <c r="H136" t="s">
        <v>44</v>
      </c>
      <c r="I136" t="s">
        <v>44</v>
      </c>
      <c r="J136" t="s">
        <v>45</v>
      </c>
      <c r="K136" s="9">
        <v>26</v>
      </c>
      <c r="L136" s="10">
        <f>IFERROR(VLOOKUP(C136,Parâmetros!$A$5:$D$7,IF(D136="Mensal",2,IF(D136="Trimestral",3,4)),0),0)</f>
        <v>59</v>
      </c>
      <c r="M136" s="10">
        <f>IF(G136="Sim",VLOOKUP("EA Play",Parâmetros!$A$11:$B$13,2,0),0)*K136</f>
        <v>0</v>
      </c>
      <c r="N136" s="10">
        <f>IF(H136="Sim",VLOOKUP("Minecraft Pass",Parâmetros!$A$11:$B$13,2,0),0)*K136</f>
        <v>0</v>
      </c>
      <c r="O136" s="10">
        <f>IF(I136="Sim",VLOOKUP("Call of Duty Pass",Parâmetros!$A$11:$B$13,2,0),0)*K136</f>
        <v>0</v>
      </c>
      <c r="P136" s="10">
        <f>(L136*K136+M136+N136+O136)*IF(F136="Promoção",1-Parâmetros!$B$22,1)</f>
        <v>1534</v>
      </c>
      <c r="Q136" s="10">
        <f>Parâmetros!$B$20*K136</f>
        <v>312</v>
      </c>
      <c r="R136" s="10">
        <f>P136-Q136</f>
        <v>1222</v>
      </c>
    </row>
    <row r="137" spans="1:18">
      <c r="A137">
        <v>136</v>
      </c>
      <c r="B137" s="8">
        <v>45424</v>
      </c>
      <c r="C137" t="s">
        <v>7</v>
      </c>
      <c r="D137" t="s">
        <v>50</v>
      </c>
      <c r="E137" t="s">
        <v>41</v>
      </c>
      <c r="F137" t="s">
        <v>42</v>
      </c>
      <c r="G137" t="s">
        <v>44</v>
      </c>
      <c r="H137" t="s">
        <v>44</v>
      </c>
      <c r="I137" t="s">
        <v>44</v>
      </c>
      <c r="J137" t="s">
        <v>45</v>
      </c>
      <c r="K137" s="9">
        <v>34</v>
      </c>
      <c r="L137" s="10">
        <f>IFERROR(VLOOKUP(C137,Parâmetros!$A$5:$D$7,IF(D137="Mensal",2,IF(D137="Trimestral",3,4)),0),0)</f>
        <v>149</v>
      </c>
      <c r="M137" s="10">
        <f>IF(G137="Sim",VLOOKUP("EA Play",Parâmetros!$A$11:$B$13,2,0),0)*K137</f>
        <v>0</v>
      </c>
      <c r="N137" s="10">
        <f>IF(H137="Sim",VLOOKUP("Minecraft Pass",Parâmetros!$A$11:$B$13,2,0),0)*K137</f>
        <v>0</v>
      </c>
      <c r="O137" s="10">
        <f>IF(I137="Sim",VLOOKUP("Call of Duty Pass",Parâmetros!$A$11:$B$13,2,0),0)*K137</f>
        <v>0</v>
      </c>
      <c r="P137" s="10">
        <f>(L137*K137+M137+N137+O137)*IF(F137="Promoção",1-Parâmetros!$B$22,1)</f>
        <v>5066</v>
      </c>
      <c r="Q137" s="10">
        <f>Parâmetros!$B$20*K137</f>
        <v>408</v>
      </c>
      <c r="R137" s="10">
        <f>P137-Q137</f>
        <v>4658</v>
      </c>
    </row>
    <row r="138" spans="1:18">
      <c r="A138">
        <v>137</v>
      </c>
      <c r="B138" s="8">
        <v>45387</v>
      </c>
      <c r="C138" t="s">
        <v>7</v>
      </c>
      <c r="D138" t="s">
        <v>46</v>
      </c>
      <c r="E138" t="s">
        <v>41</v>
      </c>
      <c r="F138" t="s">
        <v>42</v>
      </c>
      <c r="G138" t="s">
        <v>43</v>
      </c>
      <c r="H138" t="s">
        <v>43</v>
      </c>
      <c r="I138" t="s">
        <v>44</v>
      </c>
      <c r="J138" t="s">
        <v>49</v>
      </c>
      <c r="K138" s="9">
        <v>15</v>
      </c>
      <c r="L138" s="10">
        <f>IFERROR(VLOOKUP(C138,Parâmetros!$A$5:$D$7,IF(D138="Mensal",2,IF(D138="Trimestral",3,4)),0),0)</f>
        <v>14.99</v>
      </c>
      <c r="M138" s="10">
        <f>IF(G138="Sim",VLOOKUP("EA Play",Parâmetros!$A$11:$B$13,2,0),0)*K138</f>
        <v>74.850000000000009</v>
      </c>
      <c r="N138" s="10">
        <f>IF(H138="Sim",VLOOKUP("Minecraft Pass",Parâmetros!$A$11:$B$13,2,0),0)*K138</f>
        <v>59.85</v>
      </c>
      <c r="O138" s="10">
        <f>IF(I138="Sim",VLOOKUP("Call of Duty Pass",Parâmetros!$A$11:$B$13,2,0),0)*K138</f>
        <v>0</v>
      </c>
      <c r="P138" s="10">
        <f>(L138*K138+M138+N138+O138)*IF(F138="Promoção",1-Parâmetros!$B$22,1)</f>
        <v>359.55</v>
      </c>
      <c r="Q138" s="10">
        <f>Parâmetros!$B$20*K138</f>
        <v>180</v>
      </c>
      <c r="R138" s="10">
        <f>P138-Q138</f>
        <v>179.55</v>
      </c>
    </row>
    <row r="139" spans="1:18">
      <c r="A139">
        <v>138</v>
      </c>
      <c r="B139" s="8">
        <v>45432</v>
      </c>
      <c r="C139" t="s">
        <v>6</v>
      </c>
      <c r="D139" t="s">
        <v>46</v>
      </c>
      <c r="E139" t="s">
        <v>51</v>
      </c>
      <c r="F139" t="s">
        <v>48</v>
      </c>
      <c r="G139" t="s">
        <v>44</v>
      </c>
      <c r="H139" t="s">
        <v>44</v>
      </c>
      <c r="I139" t="s">
        <v>44</v>
      </c>
      <c r="J139" t="s">
        <v>45</v>
      </c>
      <c r="K139" s="9">
        <v>9</v>
      </c>
      <c r="L139" s="10">
        <f>IFERROR(VLOOKUP(C139,Parâmetros!$A$5:$D$7,IF(D139="Mensal",2,IF(D139="Trimestral",3,4)),0),0)</f>
        <v>9.99</v>
      </c>
      <c r="M139" s="10">
        <f>IF(G139="Sim",VLOOKUP("EA Play",Parâmetros!$A$11:$B$13,2,0),0)*K139</f>
        <v>0</v>
      </c>
      <c r="N139" s="10">
        <f>IF(H139="Sim",VLOOKUP("Minecraft Pass",Parâmetros!$A$11:$B$13,2,0),0)*K139</f>
        <v>0</v>
      </c>
      <c r="O139" s="10">
        <f>IF(I139="Sim",VLOOKUP("Call of Duty Pass",Parâmetros!$A$11:$B$13,2,0),0)*K139</f>
        <v>0</v>
      </c>
      <c r="P139" s="10">
        <f>(L139*K139+M139+N139+O139)*IF(F139="Promoção",1-Parâmetros!$B$22,1)</f>
        <v>89.91</v>
      </c>
      <c r="Q139" s="10">
        <f>Parâmetros!$B$20*K139</f>
        <v>108</v>
      </c>
      <c r="R139" s="10">
        <f>P139-Q139</f>
        <v>-18.090000000000003</v>
      </c>
    </row>
    <row r="140" spans="1:18">
      <c r="A140">
        <v>139</v>
      </c>
      <c r="B140" s="8">
        <v>45903</v>
      </c>
      <c r="C140" t="s">
        <v>6</v>
      </c>
      <c r="D140" t="s">
        <v>46</v>
      </c>
      <c r="E140" t="s">
        <v>51</v>
      </c>
      <c r="F140" t="s">
        <v>52</v>
      </c>
      <c r="G140" t="s">
        <v>44</v>
      </c>
      <c r="H140" t="s">
        <v>43</v>
      </c>
      <c r="I140" t="s">
        <v>44</v>
      </c>
      <c r="J140" t="s">
        <v>49</v>
      </c>
      <c r="K140" s="9">
        <v>16</v>
      </c>
      <c r="L140" s="10">
        <f>IFERROR(VLOOKUP(C140,Parâmetros!$A$5:$D$7,IF(D140="Mensal",2,IF(D140="Trimestral",3,4)),0),0)</f>
        <v>9.99</v>
      </c>
      <c r="M140" s="10">
        <f>IF(G140="Sim",VLOOKUP("EA Play",Parâmetros!$A$11:$B$13,2,0),0)*K140</f>
        <v>0</v>
      </c>
      <c r="N140" s="10">
        <f>IF(H140="Sim",VLOOKUP("Minecraft Pass",Parâmetros!$A$11:$B$13,2,0),0)*K140</f>
        <v>63.84</v>
      </c>
      <c r="O140" s="10">
        <f>IF(I140="Sim",VLOOKUP("Call of Duty Pass",Parâmetros!$A$11:$B$13,2,0),0)*K140</f>
        <v>0</v>
      </c>
      <c r="P140" s="10">
        <f>(L140*K140+M140+N140+O140)*IF(F140="Promoção",1-Parâmetros!$B$22,1)</f>
        <v>223.68</v>
      </c>
      <c r="Q140" s="10">
        <f>Parâmetros!$B$20*K140</f>
        <v>192</v>
      </c>
      <c r="R140" s="10">
        <f>P140-Q140</f>
        <v>31.680000000000007</v>
      </c>
    </row>
    <row r="141" spans="1:18">
      <c r="A141">
        <v>140</v>
      </c>
      <c r="B141" s="8">
        <v>45746</v>
      </c>
      <c r="C141" t="s">
        <v>7</v>
      </c>
      <c r="D141" t="s">
        <v>40</v>
      </c>
      <c r="E141" t="s">
        <v>51</v>
      </c>
      <c r="F141" t="s">
        <v>42</v>
      </c>
      <c r="G141" t="s">
        <v>43</v>
      </c>
      <c r="H141" t="s">
        <v>44</v>
      </c>
      <c r="I141" t="s">
        <v>44</v>
      </c>
      <c r="J141" t="s">
        <v>45</v>
      </c>
      <c r="K141" s="9">
        <v>13</v>
      </c>
      <c r="L141" s="10">
        <f>IFERROR(VLOOKUP(C141,Parâmetros!$A$5:$D$7,IF(D141="Mensal",2,IF(D141="Trimestral",3,4)),0),0)</f>
        <v>40</v>
      </c>
      <c r="M141" s="10">
        <f>IF(G141="Sim",VLOOKUP("EA Play",Parâmetros!$A$11:$B$13,2,0),0)*K141</f>
        <v>64.87</v>
      </c>
      <c r="N141" s="10">
        <f>IF(H141="Sim",VLOOKUP("Minecraft Pass",Parâmetros!$A$11:$B$13,2,0),0)*K141</f>
        <v>0</v>
      </c>
      <c r="O141" s="10">
        <f>IF(I141="Sim",VLOOKUP("Call of Duty Pass",Parâmetros!$A$11:$B$13,2,0),0)*K141</f>
        <v>0</v>
      </c>
      <c r="P141" s="10">
        <f>(L141*K141+M141+N141+O141)*IF(F141="Promoção",1-Parâmetros!$B$22,1)</f>
        <v>584.87</v>
      </c>
      <c r="Q141" s="10">
        <f>Parâmetros!$B$20*K141</f>
        <v>156</v>
      </c>
      <c r="R141" s="10">
        <f>P141-Q141</f>
        <v>428.87</v>
      </c>
    </row>
    <row r="142" spans="1:18">
      <c r="A142">
        <v>141</v>
      </c>
      <c r="B142" s="8">
        <v>45668</v>
      </c>
      <c r="C142" t="s">
        <v>7</v>
      </c>
      <c r="D142" t="s">
        <v>40</v>
      </c>
      <c r="E142" t="s">
        <v>47</v>
      </c>
      <c r="F142" t="s">
        <v>52</v>
      </c>
      <c r="G142" t="s">
        <v>44</v>
      </c>
      <c r="H142" t="s">
        <v>44</v>
      </c>
      <c r="I142" t="s">
        <v>44</v>
      </c>
      <c r="J142" t="s">
        <v>49</v>
      </c>
      <c r="K142" s="9">
        <v>13</v>
      </c>
      <c r="L142" s="10">
        <f>IFERROR(VLOOKUP(C142,Parâmetros!$A$5:$D$7,IF(D142="Mensal",2,IF(D142="Trimestral",3,4)),0),0)</f>
        <v>40</v>
      </c>
      <c r="M142" s="10">
        <f>IF(G142="Sim",VLOOKUP("EA Play",Parâmetros!$A$11:$B$13,2,0),0)*K142</f>
        <v>0</v>
      </c>
      <c r="N142" s="10">
        <f>IF(H142="Sim",VLOOKUP("Minecraft Pass",Parâmetros!$A$11:$B$13,2,0),0)*K142</f>
        <v>0</v>
      </c>
      <c r="O142" s="10">
        <f>IF(I142="Sim",VLOOKUP("Call of Duty Pass",Parâmetros!$A$11:$B$13,2,0),0)*K142</f>
        <v>0</v>
      </c>
      <c r="P142" s="10">
        <f>(L142*K142+M142+N142+O142)*IF(F142="Promoção",1-Parâmetros!$B$22,1)</f>
        <v>520</v>
      </c>
      <c r="Q142" s="10">
        <f>Parâmetros!$B$20*K142</f>
        <v>156</v>
      </c>
      <c r="R142" s="10">
        <f>P142-Q142</f>
        <v>364</v>
      </c>
    </row>
    <row r="143" spans="1:18">
      <c r="A143">
        <v>142</v>
      </c>
      <c r="B143" s="8">
        <v>45911</v>
      </c>
      <c r="C143" t="s">
        <v>6</v>
      </c>
      <c r="D143" t="s">
        <v>46</v>
      </c>
      <c r="E143" t="s">
        <v>51</v>
      </c>
      <c r="F143" t="s">
        <v>54</v>
      </c>
      <c r="G143" t="s">
        <v>44</v>
      </c>
      <c r="H143" t="s">
        <v>43</v>
      </c>
      <c r="I143" t="s">
        <v>44</v>
      </c>
      <c r="J143" t="s">
        <v>45</v>
      </c>
      <c r="K143" s="9">
        <v>19</v>
      </c>
      <c r="L143" s="10">
        <f>IFERROR(VLOOKUP(C143,Parâmetros!$A$5:$D$7,IF(D143="Mensal",2,IF(D143="Trimestral",3,4)),0),0)</f>
        <v>9.99</v>
      </c>
      <c r="M143" s="10">
        <f>IF(G143="Sim",VLOOKUP("EA Play",Parâmetros!$A$11:$B$13,2,0),0)*K143</f>
        <v>0</v>
      </c>
      <c r="N143" s="10">
        <f>IF(H143="Sim",VLOOKUP("Minecraft Pass",Parâmetros!$A$11:$B$13,2,0),0)*K143</f>
        <v>75.81</v>
      </c>
      <c r="O143" s="10">
        <f>IF(I143="Sim",VLOOKUP("Call of Duty Pass",Parâmetros!$A$11:$B$13,2,0),0)*K143</f>
        <v>0</v>
      </c>
      <c r="P143" s="10">
        <f>(L143*K143+M143+N143+O143)*IF(F143="Promoção",1-Parâmetros!$B$22,1)</f>
        <v>239.05800000000002</v>
      </c>
      <c r="Q143" s="10">
        <f>Parâmetros!$B$20*K143</f>
        <v>228</v>
      </c>
      <c r="R143" s="10">
        <f>P143-Q143</f>
        <v>11.058000000000021</v>
      </c>
    </row>
    <row r="144" spans="1:18">
      <c r="A144">
        <v>143</v>
      </c>
      <c r="B144" s="8">
        <v>45377</v>
      </c>
      <c r="C144" t="s">
        <v>8</v>
      </c>
      <c r="D144" t="s">
        <v>46</v>
      </c>
      <c r="E144" t="s">
        <v>55</v>
      </c>
      <c r="F144" t="s">
        <v>42</v>
      </c>
      <c r="G144" t="s">
        <v>43</v>
      </c>
      <c r="H144" t="s">
        <v>44</v>
      </c>
      <c r="I144" t="s">
        <v>43</v>
      </c>
      <c r="J144" t="s">
        <v>49</v>
      </c>
      <c r="K144" s="9">
        <v>23</v>
      </c>
      <c r="L144" s="10">
        <f>IFERROR(VLOOKUP(C144,Parâmetros!$A$5:$D$7,IF(D144="Mensal",2,IF(D144="Trimestral",3,4)),0),0)</f>
        <v>21.99</v>
      </c>
      <c r="M144" s="10">
        <f>IF(G144="Sim",VLOOKUP("EA Play",Parâmetros!$A$11:$B$13,2,0),0)*K144</f>
        <v>114.77000000000001</v>
      </c>
      <c r="N144" s="10">
        <f>IF(H144="Sim",VLOOKUP("Minecraft Pass",Parâmetros!$A$11:$B$13,2,0),0)*K144</f>
        <v>0</v>
      </c>
      <c r="O144" s="10">
        <f>IF(I144="Sim",VLOOKUP("Call of Duty Pass",Parâmetros!$A$11:$B$13,2,0),0)*K144</f>
        <v>160.77000000000001</v>
      </c>
      <c r="P144" s="10">
        <f>(L144*K144+M144+N144+O144)*IF(F144="Promoção",1-Parâmetros!$B$22,1)</f>
        <v>781.31</v>
      </c>
      <c r="Q144" s="10">
        <f>Parâmetros!$B$20*K144</f>
        <v>276</v>
      </c>
      <c r="R144" s="10">
        <f>P144-Q144</f>
        <v>505.30999999999995</v>
      </c>
    </row>
    <row r="145" spans="1:18">
      <c r="A145">
        <v>144</v>
      </c>
      <c r="B145" s="8">
        <v>45319</v>
      </c>
      <c r="C145" t="s">
        <v>7</v>
      </c>
      <c r="D145" t="s">
        <v>46</v>
      </c>
      <c r="E145" t="s">
        <v>41</v>
      </c>
      <c r="F145" t="s">
        <v>42</v>
      </c>
      <c r="G145" t="s">
        <v>43</v>
      </c>
      <c r="H145" t="s">
        <v>43</v>
      </c>
      <c r="I145" t="s">
        <v>44</v>
      </c>
      <c r="J145" t="s">
        <v>49</v>
      </c>
      <c r="K145" s="9">
        <v>22</v>
      </c>
      <c r="L145" s="10">
        <f>IFERROR(VLOOKUP(C145,Parâmetros!$A$5:$D$7,IF(D145="Mensal",2,IF(D145="Trimestral",3,4)),0),0)</f>
        <v>14.99</v>
      </c>
      <c r="M145" s="10">
        <f>IF(G145="Sim",VLOOKUP("EA Play",Parâmetros!$A$11:$B$13,2,0),0)*K145</f>
        <v>109.78</v>
      </c>
      <c r="N145" s="10">
        <f>IF(H145="Sim",VLOOKUP("Minecraft Pass",Parâmetros!$A$11:$B$13,2,0),0)*K145</f>
        <v>87.78</v>
      </c>
      <c r="O145" s="10">
        <f>IF(I145="Sim",VLOOKUP("Call of Duty Pass",Parâmetros!$A$11:$B$13,2,0),0)*K145</f>
        <v>0</v>
      </c>
      <c r="P145" s="10">
        <f>(L145*K145+M145+N145+O145)*IF(F145="Promoção",1-Parâmetros!$B$22,1)</f>
        <v>527.34</v>
      </c>
      <c r="Q145" s="10">
        <f>Parâmetros!$B$20*K145</f>
        <v>264</v>
      </c>
      <c r="R145" s="10">
        <f>P145-Q145</f>
        <v>263.34000000000003</v>
      </c>
    </row>
    <row r="146" spans="1:18">
      <c r="A146">
        <v>145</v>
      </c>
      <c r="B146" s="8">
        <v>45441</v>
      </c>
      <c r="C146" t="s">
        <v>6</v>
      </c>
      <c r="D146" t="s">
        <v>46</v>
      </c>
      <c r="E146" t="s">
        <v>51</v>
      </c>
      <c r="F146" t="s">
        <v>52</v>
      </c>
      <c r="G146" t="s">
        <v>43</v>
      </c>
      <c r="H146" t="s">
        <v>44</v>
      </c>
      <c r="I146" t="s">
        <v>44</v>
      </c>
      <c r="J146" t="s">
        <v>49</v>
      </c>
      <c r="K146" s="9">
        <v>6</v>
      </c>
      <c r="L146" s="10">
        <f>IFERROR(VLOOKUP(C146,Parâmetros!$A$5:$D$7,IF(D146="Mensal",2,IF(D146="Trimestral",3,4)),0),0)</f>
        <v>9.99</v>
      </c>
      <c r="M146" s="10">
        <f>IF(G146="Sim",VLOOKUP("EA Play",Parâmetros!$A$11:$B$13,2,0),0)*K146</f>
        <v>29.94</v>
      </c>
      <c r="N146" s="10">
        <f>IF(H146="Sim",VLOOKUP("Minecraft Pass",Parâmetros!$A$11:$B$13,2,0),0)*K146</f>
        <v>0</v>
      </c>
      <c r="O146" s="10">
        <f>IF(I146="Sim",VLOOKUP("Call of Duty Pass",Parâmetros!$A$11:$B$13,2,0),0)*K146</f>
        <v>0</v>
      </c>
      <c r="P146" s="10">
        <f>(L146*K146+M146+N146+O146)*IF(F146="Promoção",1-Parâmetros!$B$22,1)</f>
        <v>89.88</v>
      </c>
      <c r="Q146" s="10">
        <f>Parâmetros!$B$20*K146</f>
        <v>72</v>
      </c>
      <c r="R146" s="10">
        <f>P146-Q146</f>
        <v>17.879999999999995</v>
      </c>
    </row>
    <row r="147" spans="1:18">
      <c r="A147">
        <v>146</v>
      </c>
      <c r="B147" s="8">
        <v>45311</v>
      </c>
      <c r="C147" t="s">
        <v>6</v>
      </c>
      <c r="D147" t="s">
        <v>50</v>
      </c>
      <c r="E147" t="s">
        <v>47</v>
      </c>
      <c r="F147" t="s">
        <v>52</v>
      </c>
      <c r="G147" t="s">
        <v>44</v>
      </c>
      <c r="H147" t="s">
        <v>43</v>
      </c>
      <c r="I147" t="s">
        <v>43</v>
      </c>
      <c r="J147" t="s">
        <v>49</v>
      </c>
      <c r="K147" s="9">
        <v>4</v>
      </c>
      <c r="L147" s="10">
        <f>IFERROR(VLOOKUP(C147,Parâmetros!$A$5:$D$7,IF(D147="Mensal",2,IF(D147="Trimestral",3,4)),0),0)</f>
        <v>99</v>
      </c>
      <c r="M147" s="10">
        <f>IF(G147="Sim",VLOOKUP("EA Play",Parâmetros!$A$11:$B$13,2,0),0)*K147</f>
        <v>0</v>
      </c>
      <c r="N147" s="10">
        <f>IF(H147="Sim",VLOOKUP("Minecraft Pass",Parâmetros!$A$11:$B$13,2,0),0)*K147</f>
        <v>15.96</v>
      </c>
      <c r="O147" s="10">
        <f>IF(I147="Sim",VLOOKUP("Call of Duty Pass",Parâmetros!$A$11:$B$13,2,0),0)*K147</f>
        <v>27.96</v>
      </c>
      <c r="P147" s="10">
        <f>(L147*K147+M147+N147+O147)*IF(F147="Promoção",1-Parâmetros!$B$22,1)</f>
        <v>439.91999999999996</v>
      </c>
      <c r="Q147" s="10">
        <f>Parâmetros!$B$20*K147</f>
        <v>48</v>
      </c>
      <c r="R147" s="10">
        <f>P147-Q147</f>
        <v>391.91999999999996</v>
      </c>
    </row>
    <row r="148" spans="1:18">
      <c r="A148">
        <v>147</v>
      </c>
      <c r="B148" s="8">
        <v>45536</v>
      </c>
      <c r="C148" t="s">
        <v>7</v>
      </c>
      <c r="D148" t="s">
        <v>40</v>
      </c>
      <c r="E148" t="s">
        <v>47</v>
      </c>
      <c r="F148" t="s">
        <v>42</v>
      </c>
      <c r="G148" t="s">
        <v>44</v>
      </c>
      <c r="H148" t="s">
        <v>44</v>
      </c>
      <c r="I148" t="s">
        <v>43</v>
      </c>
      <c r="J148" t="s">
        <v>49</v>
      </c>
      <c r="K148" s="9">
        <v>16</v>
      </c>
      <c r="L148" s="10">
        <f>IFERROR(VLOOKUP(C148,Parâmetros!$A$5:$D$7,IF(D148="Mensal",2,IF(D148="Trimestral",3,4)),0),0)</f>
        <v>40</v>
      </c>
      <c r="M148" s="10">
        <f>IF(G148="Sim",VLOOKUP("EA Play",Parâmetros!$A$11:$B$13,2,0),0)*K148</f>
        <v>0</v>
      </c>
      <c r="N148" s="10">
        <f>IF(H148="Sim",VLOOKUP("Minecraft Pass",Parâmetros!$A$11:$B$13,2,0),0)*K148</f>
        <v>0</v>
      </c>
      <c r="O148" s="10">
        <f>IF(I148="Sim",VLOOKUP("Call of Duty Pass",Parâmetros!$A$11:$B$13,2,0),0)*K148</f>
        <v>111.84</v>
      </c>
      <c r="P148" s="10">
        <f>(L148*K148+M148+N148+O148)*IF(F148="Promoção",1-Parâmetros!$B$22,1)</f>
        <v>751.84</v>
      </c>
      <c r="Q148" s="10">
        <f>Parâmetros!$B$20*K148</f>
        <v>192</v>
      </c>
      <c r="R148" s="10">
        <f>P148-Q148</f>
        <v>559.84</v>
      </c>
    </row>
    <row r="149" spans="1:18">
      <c r="A149">
        <v>148</v>
      </c>
      <c r="B149" s="8">
        <v>45439</v>
      </c>
      <c r="C149" t="s">
        <v>6</v>
      </c>
      <c r="D149" t="s">
        <v>46</v>
      </c>
      <c r="E149" t="s">
        <v>41</v>
      </c>
      <c r="F149" t="s">
        <v>48</v>
      </c>
      <c r="G149" t="s">
        <v>43</v>
      </c>
      <c r="H149" t="s">
        <v>44</v>
      </c>
      <c r="I149" t="s">
        <v>44</v>
      </c>
      <c r="J149" t="s">
        <v>49</v>
      </c>
      <c r="K149" s="9">
        <v>34</v>
      </c>
      <c r="L149" s="10">
        <f>IFERROR(VLOOKUP(C149,Parâmetros!$A$5:$D$7,IF(D149="Mensal",2,IF(D149="Trimestral",3,4)),0),0)</f>
        <v>9.99</v>
      </c>
      <c r="M149" s="10">
        <f>IF(G149="Sim",VLOOKUP("EA Play",Parâmetros!$A$11:$B$13,2,0),0)*K149</f>
        <v>169.66</v>
      </c>
      <c r="N149" s="10">
        <f>IF(H149="Sim",VLOOKUP("Minecraft Pass",Parâmetros!$A$11:$B$13,2,0),0)*K149</f>
        <v>0</v>
      </c>
      <c r="O149" s="10">
        <f>IF(I149="Sim",VLOOKUP("Call of Duty Pass",Parâmetros!$A$11:$B$13,2,0),0)*K149</f>
        <v>0</v>
      </c>
      <c r="P149" s="10">
        <f>(L149*K149+M149+N149+O149)*IF(F149="Promoção",1-Parâmetros!$B$22,1)</f>
        <v>509.32000000000005</v>
      </c>
      <c r="Q149" s="10">
        <f>Parâmetros!$B$20*K149</f>
        <v>408</v>
      </c>
      <c r="R149" s="10">
        <f>P149-Q149</f>
        <v>101.32000000000005</v>
      </c>
    </row>
    <row r="150" spans="1:18">
      <c r="A150">
        <v>149</v>
      </c>
      <c r="B150" s="8">
        <v>45849</v>
      </c>
      <c r="C150" t="s">
        <v>7</v>
      </c>
      <c r="D150" t="s">
        <v>50</v>
      </c>
      <c r="E150" t="s">
        <v>47</v>
      </c>
      <c r="F150" t="s">
        <v>42</v>
      </c>
      <c r="G150" t="s">
        <v>44</v>
      </c>
      <c r="H150" t="s">
        <v>44</v>
      </c>
      <c r="I150" t="s">
        <v>44</v>
      </c>
      <c r="J150" t="s">
        <v>49</v>
      </c>
      <c r="K150" s="9">
        <v>2</v>
      </c>
      <c r="L150" s="10">
        <f>IFERROR(VLOOKUP(C150,Parâmetros!$A$5:$D$7,IF(D150="Mensal",2,IF(D150="Trimestral",3,4)),0),0)</f>
        <v>149</v>
      </c>
      <c r="M150" s="10">
        <f>IF(G150="Sim",VLOOKUP("EA Play",Parâmetros!$A$11:$B$13,2,0),0)*K150</f>
        <v>0</v>
      </c>
      <c r="N150" s="10">
        <f>IF(H150="Sim",VLOOKUP("Minecraft Pass",Parâmetros!$A$11:$B$13,2,0),0)*K150</f>
        <v>0</v>
      </c>
      <c r="O150" s="10">
        <f>IF(I150="Sim",VLOOKUP("Call of Duty Pass",Parâmetros!$A$11:$B$13,2,0),0)*K150</f>
        <v>0</v>
      </c>
      <c r="P150" s="10">
        <f>(L150*K150+M150+N150+O150)*IF(F150="Promoção",1-Parâmetros!$B$22,1)</f>
        <v>298</v>
      </c>
      <c r="Q150" s="10">
        <f>Parâmetros!$B$20*K150</f>
        <v>24</v>
      </c>
      <c r="R150" s="10">
        <f>P150-Q150</f>
        <v>274</v>
      </c>
    </row>
    <row r="151" spans="1:18">
      <c r="A151">
        <v>150</v>
      </c>
      <c r="B151" s="8">
        <v>45657</v>
      </c>
      <c r="C151" t="s">
        <v>8</v>
      </c>
      <c r="D151" t="s">
        <v>46</v>
      </c>
      <c r="E151" t="s">
        <v>51</v>
      </c>
      <c r="F151" t="s">
        <v>52</v>
      </c>
      <c r="G151" t="s">
        <v>44</v>
      </c>
      <c r="H151" t="s">
        <v>44</v>
      </c>
      <c r="I151" t="s">
        <v>44</v>
      </c>
      <c r="J151" t="s">
        <v>49</v>
      </c>
      <c r="K151" s="9">
        <v>35</v>
      </c>
      <c r="L151" s="10">
        <f>IFERROR(VLOOKUP(C151,Parâmetros!$A$5:$D$7,IF(D151="Mensal",2,IF(D151="Trimestral",3,4)),0),0)</f>
        <v>21.99</v>
      </c>
      <c r="M151" s="10">
        <f>IF(G151="Sim",VLOOKUP("EA Play",Parâmetros!$A$11:$B$13,2,0),0)*K151</f>
        <v>0</v>
      </c>
      <c r="N151" s="10">
        <f>IF(H151="Sim",VLOOKUP("Minecraft Pass",Parâmetros!$A$11:$B$13,2,0),0)*K151</f>
        <v>0</v>
      </c>
      <c r="O151" s="10">
        <f>IF(I151="Sim",VLOOKUP("Call of Duty Pass",Parâmetros!$A$11:$B$13,2,0),0)*K151</f>
        <v>0</v>
      </c>
      <c r="P151" s="10">
        <f>(L151*K151+M151+N151+O151)*IF(F151="Promoção",1-Parâmetros!$B$22,1)</f>
        <v>769.65</v>
      </c>
      <c r="Q151" s="10">
        <f>Parâmetros!$B$20*K151</f>
        <v>420</v>
      </c>
      <c r="R151" s="10">
        <f>P151-Q151</f>
        <v>349.65</v>
      </c>
    </row>
    <row r="152" spans="1:18">
      <c r="A152">
        <v>151</v>
      </c>
      <c r="B152" s="8">
        <v>45638</v>
      </c>
      <c r="C152" t="s">
        <v>8</v>
      </c>
      <c r="D152" t="s">
        <v>46</v>
      </c>
      <c r="E152" t="s">
        <v>51</v>
      </c>
      <c r="F152" t="s">
        <v>48</v>
      </c>
      <c r="G152" t="s">
        <v>44</v>
      </c>
      <c r="H152" t="s">
        <v>44</v>
      </c>
      <c r="I152" t="s">
        <v>44</v>
      </c>
      <c r="J152" t="s">
        <v>49</v>
      </c>
      <c r="K152" s="9">
        <v>30</v>
      </c>
      <c r="L152" s="10">
        <f>IFERROR(VLOOKUP(C152,Parâmetros!$A$5:$D$7,IF(D152="Mensal",2,IF(D152="Trimestral",3,4)),0),0)</f>
        <v>21.99</v>
      </c>
      <c r="M152" s="10">
        <f>IF(G152="Sim",VLOOKUP("EA Play",Parâmetros!$A$11:$B$13,2,0),0)*K152</f>
        <v>0</v>
      </c>
      <c r="N152" s="10">
        <f>IF(H152="Sim",VLOOKUP("Minecraft Pass",Parâmetros!$A$11:$B$13,2,0),0)*K152</f>
        <v>0</v>
      </c>
      <c r="O152" s="10">
        <f>IF(I152="Sim",VLOOKUP("Call of Duty Pass",Parâmetros!$A$11:$B$13,2,0),0)*K152</f>
        <v>0</v>
      </c>
      <c r="P152" s="10">
        <f>(L152*K152+M152+N152+O152)*IF(F152="Promoção",1-Parâmetros!$B$22,1)</f>
        <v>659.69999999999993</v>
      </c>
      <c r="Q152" s="10">
        <f>Parâmetros!$B$20*K152</f>
        <v>360</v>
      </c>
      <c r="R152" s="10">
        <f>P152-Q152</f>
        <v>299.69999999999993</v>
      </c>
    </row>
    <row r="153" spans="1:18">
      <c r="A153">
        <v>152</v>
      </c>
      <c r="B153" s="8">
        <v>45329</v>
      </c>
      <c r="C153" t="s">
        <v>6</v>
      </c>
      <c r="D153" t="s">
        <v>46</v>
      </c>
      <c r="E153" t="s">
        <v>41</v>
      </c>
      <c r="F153" t="s">
        <v>42</v>
      </c>
      <c r="G153" t="s">
        <v>44</v>
      </c>
      <c r="H153" t="s">
        <v>44</v>
      </c>
      <c r="I153" t="s">
        <v>44</v>
      </c>
      <c r="J153" t="s">
        <v>49</v>
      </c>
      <c r="K153" s="9">
        <v>17</v>
      </c>
      <c r="L153" s="10">
        <f>IFERROR(VLOOKUP(C153,Parâmetros!$A$5:$D$7,IF(D153="Mensal",2,IF(D153="Trimestral",3,4)),0),0)</f>
        <v>9.99</v>
      </c>
      <c r="M153" s="10">
        <f>IF(G153="Sim",VLOOKUP("EA Play",Parâmetros!$A$11:$B$13,2,0),0)*K153</f>
        <v>0</v>
      </c>
      <c r="N153" s="10">
        <f>IF(H153="Sim",VLOOKUP("Minecraft Pass",Parâmetros!$A$11:$B$13,2,0),0)*K153</f>
        <v>0</v>
      </c>
      <c r="O153" s="10">
        <f>IF(I153="Sim",VLOOKUP("Call of Duty Pass",Parâmetros!$A$11:$B$13,2,0),0)*K153</f>
        <v>0</v>
      </c>
      <c r="P153" s="10">
        <f>(L153*K153+M153+N153+O153)*IF(F153="Promoção",1-Parâmetros!$B$22,1)</f>
        <v>169.83</v>
      </c>
      <c r="Q153" s="10">
        <f>Parâmetros!$B$20*K153</f>
        <v>204</v>
      </c>
      <c r="R153" s="10">
        <f>P153-Q153</f>
        <v>-34.169999999999987</v>
      </c>
    </row>
    <row r="154" spans="1:18">
      <c r="A154">
        <v>153</v>
      </c>
      <c r="B154" s="8">
        <v>45329</v>
      </c>
      <c r="C154" t="s">
        <v>8</v>
      </c>
      <c r="D154" t="s">
        <v>46</v>
      </c>
      <c r="E154" t="s">
        <v>41</v>
      </c>
      <c r="F154" t="s">
        <v>52</v>
      </c>
      <c r="G154" t="s">
        <v>44</v>
      </c>
      <c r="H154" t="s">
        <v>43</v>
      </c>
      <c r="I154" t="s">
        <v>43</v>
      </c>
      <c r="J154" t="s">
        <v>49</v>
      </c>
      <c r="K154" s="9">
        <v>26</v>
      </c>
      <c r="L154" s="10">
        <f>IFERROR(VLOOKUP(C154,Parâmetros!$A$5:$D$7,IF(D154="Mensal",2,IF(D154="Trimestral",3,4)),0),0)</f>
        <v>21.99</v>
      </c>
      <c r="M154" s="10">
        <f>IF(G154="Sim",VLOOKUP("EA Play",Parâmetros!$A$11:$B$13,2,0),0)*K154</f>
        <v>0</v>
      </c>
      <c r="N154" s="10">
        <f>IF(H154="Sim",VLOOKUP("Minecraft Pass",Parâmetros!$A$11:$B$13,2,0),0)*K154</f>
        <v>103.74000000000001</v>
      </c>
      <c r="O154" s="10">
        <f>IF(I154="Sim",VLOOKUP("Call of Duty Pass",Parâmetros!$A$11:$B$13,2,0),0)*K154</f>
        <v>181.74</v>
      </c>
      <c r="P154" s="10">
        <f>(L154*K154+M154+N154+O154)*IF(F154="Promoção",1-Parâmetros!$B$22,1)</f>
        <v>857.22</v>
      </c>
      <c r="Q154" s="10">
        <f>Parâmetros!$B$20*K154</f>
        <v>312</v>
      </c>
      <c r="R154" s="10">
        <f>P154-Q154</f>
        <v>545.22</v>
      </c>
    </row>
    <row r="155" spans="1:18">
      <c r="A155">
        <v>154</v>
      </c>
      <c r="B155" s="8">
        <v>45742</v>
      </c>
      <c r="C155" t="s">
        <v>8</v>
      </c>
      <c r="D155" t="s">
        <v>46</v>
      </c>
      <c r="E155" t="s">
        <v>53</v>
      </c>
      <c r="F155" t="s">
        <v>48</v>
      </c>
      <c r="G155" t="s">
        <v>44</v>
      </c>
      <c r="H155" t="s">
        <v>44</v>
      </c>
      <c r="I155" t="s">
        <v>44</v>
      </c>
      <c r="J155" t="s">
        <v>45</v>
      </c>
      <c r="K155" s="9">
        <v>28</v>
      </c>
      <c r="L155" s="10">
        <f>IFERROR(VLOOKUP(C155,Parâmetros!$A$5:$D$7,IF(D155="Mensal",2,IF(D155="Trimestral",3,4)),0),0)</f>
        <v>21.99</v>
      </c>
      <c r="M155" s="10">
        <f>IF(G155="Sim",VLOOKUP("EA Play",Parâmetros!$A$11:$B$13,2,0),0)*K155</f>
        <v>0</v>
      </c>
      <c r="N155" s="10">
        <f>IF(H155="Sim",VLOOKUP("Minecraft Pass",Parâmetros!$A$11:$B$13,2,0),0)*K155</f>
        <v>0</v>
      </c>
      <c r="O155" s="10">
        <f>IF(I155="Sim",VLOOKUP("Call of Duty Pass",Parâmetros!$A$11:$B$13,2,0),0)*K155</f>
        <v>0</v>
      </c>
      <c r="P155" s="10">
        <f>(L155*K155+M155+N155+O155)*IF(F155="Promoção",1-Parâmetros!$B$22,1)</f>
        <v>615.71999999999991</v>
      </c>
      <c r="Q155" s="10">
        <f>Parâmetros!$B$20*K155</f>
        <v>336</v>
      </c>
      <c r="R155" s="10">
        <f>P155-Q155</f>
        <v>279.71999999999991</v>
      </c>
    </row>
    <row r="156" spans="1:18">
      <c r="A156">
        <v>155</v>
      </c>
      <c r="B156" s="8">
        <v>45372</v>
      </c>
      <c r="C156" t="s">
        <v>7</v>
      </c>
      <c r="D156" t="s">
        <v>50</v>
      </c>
      <c r="E156" t="s">
        <v>41</v>
      </c>
      <c r="F156" t="s">
        <v>42</v>
      </c>
      <c r="G156" t="s">
        <v>43</v>
      </c>
      <c r="H156" t="s">
        <v>43</v>
      </c>
      <c r="I156" t="s">
        <v>43</v>
      </c>
      <c r="J156" t="s">
        <v>49</v>
      </c>
      <c r="K156" s="9">
        <v>28</v>
      </c>
      <c r="L156" s="10">
        <f>IFERROR(VLOOKUP(C156,Parâmetros!$A$5:$D$7,IF(D156="Mensal",2,IF(D156="Trimestral",3,4)),0),0)</f>
        <v>149</v>
      </c>
      <c r="M156" s="10">
        <f>IF(G156="Sim",VLOOKUP("EA Play",Parâmetros!$A$11:$B$13,2,0),0)*K156</f>
        <v>139.72</v>
      </c>
      <c r="N156" s="10">
        <f>IF(H156="Sim",VLOOKUP("Minecraft Pass",Parâmetros!$A$11:$B$13,2,0),0)*K156</f>
        <v>111.72</v>
      </c>
      <c r="O156" s="10">
        <f>IF(I156="Sim",VLOOKUP("Call of Duty Pass",Parâmetros!$A$11:$B$13,2,0),0)*K156</f>
        <v>195.72</v>
      </c>
      <c r="P156" s="10">
        <f>(L156*K156+M156+N156+O156)*IF(F156="Promoção",1-Parâmetros!$B$22,1)</f>
        <v>4619.1600000000008</v>
      </c>
      <c r="Q156" s="10">
        <f>Parâmetros!$B$20*K156</f>
        <v>336</v>
      </c>
      <c r="R156" s="10">
        <f>P156-Q156</f>
        <v>4283.1600000000008</v>
      </c>
    </row>
    <row r="157" spans="1:18">
      <c r="A157">
        <v>156</v>
      </c>
      <c r="B157" s="8">
        <v>45462</v>
      </c>
      <c r="C157" t="s">
        <v>7</v>
      </c>
      <c r="D157" t="s">
        <v>46</v>
      </c>
      <c r="E157" t="s">
        <v>41</v>
      </c>
      <c r="F157" t="s">
        <v>54</v>
      </c>
      <c r="G157" t="s">
        <v>43</v>
      </c>
      <c r="H157" t="s">
        <v>44</v>
      </c>
      <c r="I157" t="s">
        <v>43</v>
      </c>
      <c r="J157" t="s">
        <v>45</v>
      </c>
      <c r="K157" s="9">
        <v>4</v>
      </c>
      <c r="L157" s="10">
        <f>IFERROR(VLOOKUP(C157,Parâmetros!$A$5:$D$7,IF(D157="Mensal",2,IF(D157="Trimestral",3,4)),0),0)</f>
        <v>14.99</v>
      </c>
      <c r="M157" s="10">
        <f>IF(G157="Sim",VLOOKUP("EA Play",Parâmetros!$A$11:$B$13,2,0),0)*K157</f>
        <v>19.96</v>
      </c>
      <c r="N157" s="10">
        <f>IF(H157="Sim",VLOOKUP("Minecraft Pass",Parâmetros!$A$11:$B$13,2,0),0)*K157</f>
        <v>0</v>
      </c>
      <c r="O157" s="10">
        <f>IF(I157="Sim",VLOOKUP("Call of Duty Pass",Parâmetros!$A$11:$B$13,2,0),0)*K157</f>
        <v>27.96</v>
      </c>
      <c r="P157" s="10">
        <f>(L157*K157+M157+N157+O157)*IF(F157="Promoção",1-Parâmetros!$B$22,1)</f>
        <v>97.091999999999999</v>
      </c>
      <c r="Q157" s="10">
        <f>Parâmetros!$B$20*K157</f>
        <v>48</v>
      </c>
      <c r="R157" s="10">
        <f>P157-Q157</f>
        <v>49.091999999999999</v>
      </c>
    </row>
    <row r="158" spans="1:18">
      <c r="A158">
        <v>157</v>
      </c>
      <c r="B158" s="8">
        <v>45368</v>
      </c>
      <c r="C158" t="s">
        <v>7</v>
      </c>
      <c r="D158" t="s">
        <v>46</v>
      </c>
      <c r="E158" t="s">
        <v>47</v>
      </c>
      <c r="F158" t="s">
        <v>52</v>
      </c>
      <c r="G158" t="s">
        <v>43</v>
      </c>
      <c r="H158" t="s">
        <v>43</v>
      </c>
      <c r="I158" t="s">
        <v>44</v>
      </c>
      <c r="J158" t="s">
        <v>45</v>
      </c>
      <c r="K158" s="9">
        <v>29</v>
      </c>
      <c r="L158" s="10">
        <f>IFERROR(VLOOKUP(C158,Parâmetros!$A$5:$D$7,IF(D158="Mensal",2,IF(D158="Trimestral",3,4)),0),0)</f>
        <v>14.99</v>
      </c>
      <c r="M158" s="10">
        <f>IF(G158="Sim",VLOOKUP("EA Play",Parâmetros!$A$11:$B$13,2,0),0)*K158</f>
        <v>144.71</v>
      </c>
      <c r="N158" s="10">
        <f>IF(H158="Sim",VLOOKUP("Minecraft Pass",Parâmetros!$A$11:$B$13,2,0),0)*K158</f>
        <v>115.71000000000001</v>
      </c>
      <c r="O158" s="10">
        <f>IF(I158="Sim",VLOOKUP("Call of Duty Pass",Parâmetros!$A$11:$B$13,2,0),0)*K158</f>
        <v>0</v>
      </c>
      <c r="P158" s="10">
        <f>(L158*K158+M158+N158+O158)*IF(F158="Promoção",1-Parâmetros!$B$22,1)</f>
        <v>695.13</v>
      </c>
      <c r="Q158" s="10">
        <f>Parâmetros!$B$20*K158</f>
        <v>348</v>
      </c>
      <c r="R158" s="10">
        <f>P158-Q158</f>
        <v>347.13</v>
      </c>
    </row>
    <row r="159" spans="1:18">
      <c r="A159">
        <v>158</v>
      </c>
      <c r="B159" s="8">
        <v>45327</v>
      </c>
      <c r="C159" t="s">
        <v>6</v>
      </c>
      <c r="D159" t="s">
        <v>46</v>
      </c>
      <c r="E159" t="s">
        <v>51</v>
      </c>
      <c r="F159" t="s">
        <v>42</v>
      </c>
      <c r="G159" t="s">
        <v>44</v>
      </c>
      <c r="H159" t="s">
        <v>43</v>
      </c>
      <c r="I159" t="s">
        <v>43</v>
      </c>
      <c r="J159" t="s">
        <v>49</v>
      </c>
      <c r="K159" s="9">
        <v>24</v>
      </c>
      <c r="L159" s="10">
        <f>IFERROR(VLOOKUP(C159,Parâmetros!$A$5:$D$7,IF(D159="Mensal",2,IF(D159="Trimestral",3,4)),0),0)</f>
        <v>9.99</v>
      </c>
      <c r="M159" s="10">
        <f>IF(G159="Sim",VLOOKUP("EA Play",Parâmetros!$A$11:$B$13,2,0),0)*K159</f>
        <v>0</v>
      </c>
      <c r="N159" s="10">
        <f>IF(H159="Sim",VLOOKUP("Minecraft Pass",Parâmetros!$A$11:$B$13,2,0),0)*K159</f>
        <v>95.76</v>
      </c>
      <c r="O159" s="10">
        <f>IF(I159="Sim",VLOOKUP("Call of Duty Pass",Parâmetros!$A$11:$B$13,2,0),0)*K159</f>
        <v>167.76</v>
      </c>
      <c r="P159" s="10">
        <f>(L159*K159+M159+N159+O159)*IF(F159="Promoção",1-Parâmetros!$B$22,1)</f>
        <v>503.28</v>
      </c>
      <c r="Q159" s="10">
        <f>Parâmetros!$B$20*K159</f>
        <v>288</v>
      </c>
      <c r="R159" s="10">
        <f>P159-Q159</f>
        <v>215.27999999999997</v>
      </c>
    </row>
    <row r="160" spans="1:18">
      <c r="A160">
        <v>159</v>
      </c>
      <c r="B160" s="8">
        <v>45672</v>
      </c>
      <c r="C160" t="s">
        <v>7</v>
      </c>
      <c r="D160" t="s">
        <v>46</v>
      </c>
      <c r="E160" t="s">
        <v>41</v>
      </c>
      <c r="F160" t="s">
        <v>42</v>
      </c>
      <c r="G160" t="s">
        <v>43</v>
      </c>
      <c r="H160" t="s">
        <v>43</v>
      </c>
      <c r="I160" t="s">
        <v>44</v>
      </c>
      <c r="J160" t="s">
        <v>49</v>
      </c>
      <c r="K160" s="9">
        <v>12</v>
      </c>
      <c r="L160" s="10">
        <f>IFERROR(VLOOKUP(C160,Parâmetros!$A$5:$D$7,IF(D160="Mensal",2,IF(D160="Trimestral",3,4)),0),0)</f>
        <v>14.99</v>
      </c>
      <c r="M160" s="10">
        <f>IF(G160="Sim",VLOOKUP("EA Play",Parâmetros!$A$11:$B$13,2,0),0)*K160</f>
        <v>59.88</v>
      </c>
      <c r="N160" s="10">
        <f>IF(H160="Sim",VLOOKUP("Minecraft Pass",Parâmetros!$A$11:$B$13,2,0),0)*K160</f>
        <v>47.88</v>
      </c>
      <c r="O160" s="10">
        <f>IF(I160="Sim",VLOOKUP("Call of Duty Pass",Parâmetros!$A$11:$B$13,2,0),0)*K160</f>
        <v>0</v>
      </c>
      <c r="P160" s="10">
        <f>(L160*K160+M160+N160+O160)*IF(F160="Promoção",1-Parâmetros!$B$22,1)</f>
        <v>287.64</v>
      </c>
      <c r="Q160" s="10">
        <f>Parâmetros!$B$20*K160</f>
        <v>144</v>
      </c>
      <c r="R160" s="10">
        <f>P160-Q160</f>
        <v>143.63999999999999</v>
      </c>
    </row>
    <row r="161" spans="1:18">
      <c r="A161">
        <v>160</v>
      </c>
      <c r="B161" s="8">
        <v>45803</v>
      </c>
      <c r="C161" t="s">
        <v>7</v>
      </c>
      <c r="D161" t="s">
        <v>50</v>
      </c>
      <c r="E161" t="s">
        <v>41</v>
      </c>
      <c r="F161" t="s">
        <v>52</v>
      </c>
      <c r="G161" t="s">
        <v>44</v>
      </c>
      <c r="H161" t="s">
        <v>43</v>
      </c>
      <c r="I161" t="s">
        <v>44</v>
      </c>
      <c r="J161" t="s">
        <v>45</v>
      </c>
      <c r="K161" s="9">
        <v>32</v>
      </c>
      <c r="L161" s="10">
        <f>IFERROR(VLOOKUP(C161,Parâmetros!$A$5:$D$7,IF(D161="Mensal",2,IF(D161="Trimestral",3,4)),0),0)</f>
        <v>149</v>
      </c>
      <c r="M161" s="10">
        <f>IF(G161="Sim",VLOOKUP("EA Play",Parâmetros!$A$11:$B$13,2,0),0)*K161</f>
        <v>0</v>
      </c>
      <c r="N161" s="10">
        <f>IF(H161="Sim",VLOOKUP("Minecraft Pass",Parâmetros!$A$11:$B$13,2,0),0)*K161</f>
        <v>127.68</v>
      </c>
      <c r="O161" s="10">
        <f>IF(I161="Sim",VLOOKUP("Call of Duty Pass",Parâmetros!$A$11:$B$13,2,0),0)*K161</f>
        <v>0</v>
      </c>
      <c r="P161" s="10">
        <f>(L161*K161+M161+N161+O161)*IF(F161="Promoção",1-Parâmetros!$B$22,1)</f>
        <v>4895.68</v>
      </c>
      <c r="Q161" s="10">
        <f>Parâmetros!$B$20*K161</f>
        <v>384</v>
      </c>
      <c r="R161" s="10">
        <f>P161-Q161</f>
        <v>4511.68</v>
      </c>
    </row>
    <row r="162" spans="1:18">
      <c r="A162">
        <v>161</v>
      </c>
      <c r="B162" s="8">
        <v>45496</v>
      </c>
      <c r="C162" t="s">
        <v>6</v>
      </c>
      <c r="D162" t="s">
        <v>50</v>
      </c>
      <c r="E162" t="s">
        <v>47</v>
      </c>
      <c r="F162" t="s">
        <v>54</v>
      </c>
      <c r="G162" t="s">
        <v>43</v>
      </c>
      <c r="H162" t="s">
        <v>43</v>
      </c>
      <c r="I162" t="s">
        <v>44</v>
      </c>
      <c r="J162" t="s">
        <v>45</v>
      </c>
      <c r="K162" s="9">
        <v>21</v>
      </c>
      <c r="L162" s="10">
        <f>IFERROR(VLOOKUP(C162,Parâmetros!$A$5:$D$7,IF(D162="Mensal",2,IF(D162="Trimestral",3,4)),0),0)</f>
        <v>99</v>
      </c>
      <c r="M162" s="10">
        <f>IF(G162="Sim",VLOOKUP("EA Play",Parâmetros!$A$11:$B$13,2,0),0)*K162</f>
        <v>104.79</v>
      </c>
      <c r="N162" s="10">
        <f>IF(H162="Sim",VLOOKUP("Minecraft Pass",Parâmetros!$A$11:$B$13,2,0),0)*K162</f>
        <v>83.79</v>
      </c>
      <c r="O162" s="10">
        <f>IF(I162="Sim",VLOOKUP("Call of Duty Pass",Parâmetros!$A$11:$B$13,2,0),0)*K162</f>
        <v>0</v>
      </c>
      <c r="P162" s="10">
        <f>(L162*K162+M162+N162+O162)*IF(F162="Promoção",1-Parâmetros!$B$22,1)</f>
        <v>2040.8219999999999</v>
      </c>
      <c r="Q162" s="10">
        <f>Parâmetros!$B$20*K162</f>
        <v>252</v>
      </c>
      <c r="R162" s="10">
        <f>P162-Q162</f>
        <v>1788.8219999999999</v>
      </c>
    </row>
    <row r="163" spans="1:18">
      <c r="A163">
        <v>162</v>
      </c>
      <c r="B163" s="8">
        <v>45975</v>
      </c>
      <c r="C163" t="s">
        <v>6</v>
      </c>
      <c r="D163" t="s">
        <v>46</v>
      </c>
      <c r="E163" t="s">
        <v>47</v>
      </c>
      <c r="F163" t="s">
        <v>54</v>
      </c>
      <c r="G163" t="s">
        <v>44</v>
      </c>
      <c r="H163" t="s">
        <v>44</v>
      </c>
      <c r="I163" t="s">
        <v>44</v>
      </c>
      <c r="J163" t="s">
        <v>45</v>
      </c>
      <c r="K163" s="9">
        <v>24</v>
      </c>
      <c r="L163" s="10">
        <f>IFERROR(VLOOKUP(C163,Parâmetros!$A$5:$D$7,IF(D163="Mensal",2,IF(D163="Trimestral",3,4)),0),0)</f>
        <v>9.99</v>
      </c>
      <c r="M163" s="10">
        <f>IF(G163="Sim",VLOOKUP("EA Play",Parâmetros!$A$11:$B$13,2,0),0)*K163</f>
        <v>0</v>
      </c>
      <c r="N163" s="10">
        <f>IF(H163="Sim",VLOOKUP("Minecraft Pass",Parâmetros!$A$11:$B$13,2,0),0)*K163</f>
        <v>0</v>
      </c>
      <c r="O163" s="10">
        <f>IF(I163="Sim",VLOOKUP("Call of Duty Pass",Parâmetros!$A$11:$B$13,2,0),0)*K163</f>
        <v>0</v>
      </c>
      <c r="P163" s="10">
        <f>(L163*K163+M163+N163+O163)*IF(F163="Promoção",1-Parâmetros!$B$22,1)</f>
        <v>215.78399999999999</v>
      </c>
      <c r="Q163" s="10">
        <f>Parâmetros!$B$20*K163</f>
        <v>288</v>
      </c>
      <c r="R163" s="10">
        <f>P163-Q163</f>
        <v>-72.216000000000008</v>
      </c>
    </row>
    <row r="164" spans="1:18">
      <c r="A164">
        <v>163</v>
      </c>
      <c r="B164" s="8">
        <v>45812</v>
      </c>
      <c r="C164" t="s">
        <v>6</v>
      </c>
      <c r="D164" t="s">
        <v>50</v>
      </c>
      <c r="E164" t="s">
        <v>51</v>
      </c>
      <c r="F164" t="s">
        <v>42</v>
      </c>
      <c r="G164" t="s">
        <v>44</v>
      </c>
      <c r="H164" t="s">
        <v>43</v>
      </c>
      <c r="I164" t="s">
        <v>44</v>
      </c>
      <c r="J164" t="s">
        <v>49</v>
      </c>
      <c r="K164" s="9">
        <v>9</v>
      </c>
      <c r="L164" s="10">
        <f>IFERROR(VLOOKUP(C164,Parâmetros!$A$5:$D$7,IF(D164="Mensal",2,IF(D164="Trimestral",3,4)),0),0)</f>
        <v>99</v>
      </c>
      <c r="M164" s="10">
        <f>IF(G164="Sim",VLOOKUP("EA Play",Parâmetros!$A$11:$B$13,2,0),0)*K164</f>
        <v>0</v>
      </c>
      <c r="N164" s="10">
        <f>IF(H164="Sim",VLOOKUP("Minecraft Pass",Parâmetros!$A$11:$B$13,2,0),0)*K164</f>
        <v>35.910000000000004</v>
      </c>
      <c r="O164" s="10">
        <f>IF(I164="Sim",VLOOKUP("Call of Duty Pass",Parâmetros!$A$11:$B$13,2,0),0)*K164</f>
        <v>0</v>
      </c>
      <c r="P164" s="10">
        <f>(L164*K164+M164+N164+O164)*IF(F164="Promoção",1-Parâmetros!$B$22,1)</f>
        <v>926.91</v>
      </c>
      <c r="Q164" s="10">
        <f>Parâmetros!$B$20*K164</f>
        <v>108</v>
      </c>
      <c r="R164" s="10">
        <f>P164-Q164</f>
        <v>818.91</v>
      </c>
    </row>
    <row r="165" spans="1:18">
      <c r="A165">
        <v>164</v>
      </c>
      <c r="B165" s="8">
        <v>45918</v>
      </c>
      <c r="C165" t="s">
        <v>8</v>
      </c>
      <c r="D165" t="s">
        <v>46</v>
      </c>
      <c r="E165" t="s">
        <v>41</v>
      </c>
      <c r="F165" t="s">
        <v>52</v>
      </c>
      <c r="G165" t="s">
        <v>44</v>
      </c>
      <c r="H165" t="s">
        <v>44</v>
      </c>
      <c r="I165" t="s">
        <v>44</v>
      </c>
      <c r="J165" t="s">
        <v>45</v>
      </c>
      <c r="K165" s="9">
        <v>9</v>
      </c>
      <c r="L165" s="10">
        <f>IFERROR(VLOOKUP(C165,Parâmetros!$A$5:$D$7,IF(D165="Mensal",2,IF(D165="Trimestral",3,4)),0),0)</f>
        <v>21.99</v>
      </c>
      <c r="M165" s="10">
        <f>IF(G165="Sim",VLOOKUP("EA Play",Parâmetros!$A$11:$B$13,2,0),0)*K165</f>
        <v>0</v>
      </c>
      <c r="N165" s="10">
        <f>IF(H165="Sim",VLOOKUP("Minecraft Pass",Parâmetros!$A$11:$B$13,2,0),0)*K165</f>
        <v>0</v>
      </c>
      <c r="O165" s="10">
        <f>IF(I165="Sim",VLOOKUP("Call of Duty Pass",Parâmetros!$A$11:$B$13,2,0),0)*K165</f>
        <v>0</v>
      </c>
      <c r="P165" s="10">
        <f>(L165*K165+M165+N165+O165)*IF(F165="Promoção",1-Parâmetros!$B$22,1)</f>
        <v>197.91</v>
      </c>
      <c r="Q165" s="10">
        <f>Parâmetros!$B$20*K165</f>
        <v>108</v>
      </c>
      <c r="R165" s="10">
        <f>P165-Q165</f>
        <v>89.91</v>
      </c>
    </row>
    <row r="166" spans="1:18">
      <c r="A166">
        <v>165</v>
      </c>
      <c r="B166" s="8">
        <v>45616</v>
      </c>
      <c r="C166" t="s">
        <v>7</v>
      </c>
      <c r="D166" t="s">
        <v>46</v>
      </c>
      <c r="E166" t="s">
        <v>51</v>
      </c>
      <c r="F166" t="s">
        <v>42</v>
      </c>
      <c r="G166" t="s">
        <v>44</v>
      </c>
      <c r="H166" t="s">
        <v>44</v>
      </c>
      <c r="I166" t="s">
        <v>44</v>
      </c>
      <c r="J166" t="s">
        <v>49</v>
      </c>
      <c r="K166" s="9">
        <v>9</v>
      </c>
      <c r="L166" s="10">
        <f>IFERROR(VLOOKUP(C166,Parâmetros!$A$5:$D$7,IF(D166="Mensal",2,IF(D166="Trimestral",3,4)),0),0)</f>
        <v>14.99</v>
      </c>
      <c r="M166" s="10">
        <f>IF(G166="Sim",VLOOKUP("EA Play",Parâmetros!$A$11:$B$13,2,0),0)*K166</f>
        <v>0</v>
      </c>
      <c r="N166" s="10">
        <f>IF(H166="Sim",VLOOKUP("Minecraft Pass",Parâmetros!$A$11:$B$13,2,0),0)*K166</f>
        <v>0</v>
      </c>
      <c r="O166" s="10">
        <f>IF(I166="Sim",VLOOKUP("Call of Duty Pass",Parâmetros!$A$11:$B$13,2,0),0)*K166</f>
        <v>0</v>
      </c>
      <c r="P166" s="10">
        <f>(L166*K166+M166+N166+O166)*IF(F166="Promoção",1-Parâmetros!$B$22,1)</f>
        <v>134.91</v>
      </c>
      <c r="Q166" s="10">
        <f>Parâmetros!$B$20*K166</f>
        <v>108</v>
      </c>
      <c r="R166" s="10">
        <f>P166-Q166</f>
        <v>26.909999999999997</v>
      </c>
    </row>
    <row r="167" spans="1:18">
      <c r="A167">
        <v>166</v>
      </c>
      <c r="B167" s="8">
        <v>45735</v>
      </c>
      <c r="C167" t="s">
        <v>7</v>
      </c>
      <c r="D167" t="s">
        <v>50</v>
      </c>
      <c r="E167" t="s">
        <v>51</v>
      </c>
      <c r="F167" t="s">
        <v>48</v>
      </c>
      <c r="G167" t="s">
        <v>43</v>
      </c>
      <c r="H167" t="s">
        <v>43</v>
      </c>
      <c r="I167" t="s">
        <v>44</v>
      </c>
      <c r="J167" t="s">
        <v>49</v>
      </c>
      <c r="K167" s="9">
        <v>34</v>
      </c>
      <c r="L167" s="10">
        <f>IFERROR(VLOOKUP(C167,Parâmetros!$A$5:$D$7,IF(D167="Mensal",2,IF(D167="Trimestral",3,4)),0),0)</f>
        <v>149</v>
      </c>
      <c r="M167" s="10">
        <f>IF(G167="Sim",VLOOKUP("EA Play",Parâmetros!$A$11:$B$13,2,0),0)*K167</f>
        <v>169.66</v>
      </c>
      <c r="N167" s="10">
        <f>IF(H167="Sim",VLOOKUP("Minecraft Pass",Parâmetros!$A$11:$B$13,2,0),0)*K167</f>
        <v>135.66</v>
      </c>
      <c r="O167" s="10">
        <f>IF(I167="Sim",VLOOKUP("Call of Duty Pass",Parâmetros!$A$11:$B$13,2,0),0)*K167</f>
        <v>0</v>
      </c>
      <c r="P167" s="10">
        <f>(L167*K167+M167+N167+O167)*IF(F167="Promoção",1-Parâmetros!$B$22,1)</f>
        <v>5371.32</v>
      </c>
      <c r="Q167" s="10">
        <f>Parâmetros!$B$20*K167</f>
        <v>408</v>
      </c>
      <c r="R167" s="10">
        <f>P167-Q167</f>
        <v>4963.32</v>
      </c>
    </row>
    <row r="168" spans="1:18">
      <c r="A168">
        <v>167</v>
      </c>
      <c r="B168" s="8">
        <v>45582</v>
      </c>
      <c r="C168" t="s">
        <v>8</v>
      </c>
      <c r="D168" t="s">
        <v>46</v>
      </c>
      <c r="E168" t="s">
        <v>47</v>
      </c>
      <c r="F168" t="s">
        <v>48</v>
      </c>
      <c r="G168" t="s">
        <v>43</v>
      </c>
      <c r="H168" t="s">
        <v>43</v>
      </c>
      <c r="I168" t="s">
        <v>44</v>
      </c>
      <c r="J168" t="s">
        <v>49</v>
      </c>
      <c r="K168" s="9">
        <v>11</v>
      </c>
      <c r="L168" s="10">
        <f>IFERROR(VLOOKUP(C168,Parâmetros!$A$5:$D$7,IF(D168="Mensal",2,IF(D168="Trimestral",3,4)),0),0)</f>
        <v>21.99</v>
      </c>
      <c r="M168" s="10">
        <f>IF(G168="Sim",VLOOKUP("EA Play",Parâmetros!$A$11:$B$13,2,0),0)*K168</f>
        <v>54.89</v>
      </c>
      <c r="N168" s="10">
        <f>IF(H168="Sim",VLOOKUP("Minecraft Pass",Parâmetros!$A$11:$B$13,2,0),0)*K168</f>
        <v>43.89</v>
      </c>
      <c r="O168" s="10">
        <f>IF(I168="Sim",VLOOKUP("Call of Duty Pass",Parâmetros!$A$11:$B$13,2,0),0)*K168</f>
        <v>0</v>
      </c>
      <c r="P168" s="10">
        <f>(L168*K168+M168+N168+O168)*IF(F168="Promoção",1-Parâmetros!$B$22,1)</f>
        <v>340.66999999999996</v>
      </c>
      <c r="Q168" s="10">
        <f>Parâmetros!$B$20*K168</f>
        <v>132</v>
      </c>
      <c r="R168" s="10">
        <f>P168-Q168</f>
        <v>208.66999999999996</v>
      </c>
    </row>
    <row r="169" spans="1:18">
      <c r="A169">
        <v>168</v>
      </c>
      <c r="B169" s="8">
        <v>45898</v>
      </c>
      <c r="C169" t="s">
        <v>8</v>
      </c>
      <c r="D169" t="s">
        <v>46</v>
      </c>
      <c r="E169" t="s">
        <v>51</v>
      </c>
      <c r="F169" t="s">
        <v>52</v>
      </c>
      <c r="G169" t="s">
        <v>44</v>
      </c>
      <c r="H169" t="s">
        <v>44</v>
      </c>
      <c r="I169" t="s">
        <v>44</v>
      </c>
      <c r="J169" t="s">
        <v>45</v>
      </c>
      <c r="K169" s="9">
        <v>2</v>
      </c>
      <c r="L169" s="10">
        <f>IFERROR(VLOOKUP(C169,Parâmetros!$A$5:$D$7,IF(D169="Mensal",2,IF(D169="Trimestral",3,4)),0),0)</f>
        <v>21.99</v>
      </c>
      <c r="M169" s="10">
        <f>IF(G169="Sim",VLOOKUP("EA Play",Parâmetros!$A$11:$B$13,2,0),0)*K169</f>
        <v>0</v>
      </c>
      <c r="N169" s="10">
        <f>IF(H169="Sim",VLOOKUP("Minecraft Pass",Parâmetros!$A$11:$B$13,2,0),0)*K169</f>
        <v>0</v>
      </c>
      <c r="O169" s="10">
        <f>IF(I169="Sim",VLOOKUP("Call of Duty Pass",Parâmetros!$A$11:$B$13,2,0),0)*K169</f>
        <v>0</v>
      </c>
      <c r="P169" s="10">
        <f>(L169*K169+M169+N169+O169)*IF(F169="Promoção",1-Parâmetros!$B$22,1)</f>
        <v>43.98</v>
      </c>
      <c r="Q169" s="10">
        <f>Parâmetros!$B$20*K169</f>
        <v>24</v>
      </c>
      <c r="R169" s="10">
        <f>P169-Q169</f>
        <v>19.979999999999997</v>
      </c>
    </row>
    <row r="170" spans="1:18">
      <c r="A170">
        <v>169</v>
      </c>
      <c r="B170" s="8">
        <v>45375</v>
      </c>
      <c r="C170" t="s">
        <v>6</v>
      </c>
      <c r="D170" t="s">
        <v>40</v>
      </c>
      <c r="E170" t="s">
        <v>47</v>
      </c>
      <c r="F170" t="s">
        <v>52</v>
      </c>
      <c r="G170" t="s">
        <v>44</v>
      </c>
      <c r="H170" t="s">
        <v>44</v>
      </c>
      <c r="I170" t="s">
        <v>44</v>
      </c>
      <c r="J170" t="s">
        <v>49</v>
      </c>
      <c r="K170" s="9">
        <v>35</v>
      </c>
      <c r="L170" s="10">
        <f>IFERROR(VLOOKUP(C170,Parâmetros!$A$5:$D$7,IF(D170="Mensal",2,IF(D170="Trimestral",3,4)),0),0)</f>
        <v>27</v>
      </c>
      <c r="M170" s="10">
        <f>IF(G170="Sim",VLOOKUP("EA Play",Parâmetros!$A$11:$B$13,2,0),0)*K170</f>
        <v>0</v>
      </c>
      <c r="N170" s="10">
        <f>IF(H170="Sim",VLOOKUP("Minecraft Pass",Parâmetros!$A$11:$B$13,2,0),0)*K170</f>
        <v>0</v>
      </c>
      <c r="O170" s="10">
        <f>IF(I170="Sim",VLOOKUP("Call of Duty Pass",Parâmetros!$A$11:$B$13,2,0),0)*K170</f>
        <v>0</v>
      </c>
      <c r="P170" s="10">
        <f>(L170*K170+M170+N170+O170)*IF(F170="Promoção",1-Parâmetros!$B$22,1)</f>
        <v>945</v>
      </c>
      <c r="Q170" s="10">
        <f>Parâmetros!$B$20*K170</f>
        <v>420</v>
      </c>
      <c r="R170" s="10">
        <f>P170-Q170</f>
        <v>525</v>
      </c>
    </row>
    <row r="171" spans="1:18">
      <c r="A171">
        <v>170</v>
      </c>
      <c r="B171" s="8">
        <v>45588</v>
      </c>
      <c r="C171" t="s">
        <v>7</v>
      </c>
      <c r="D171" t="s">
        <v>46</v>
      </c>
      <c r="E171" t="s">
        <v>41</v>
      </c>
      <c r="F171" t="s">
        <v>54</v>
      </c>
      <c r="G171" t="s">
        <v>43</v>
      </c>
      <c r="H171" t="s">
        <v>44</v>
      </c>
      <c r="I171" t="s">
        <v>44</v>
      </c>
      <c r="J171" t="s">
        <v>49</v>
      </c>
      <c r="K171" s="9">
        <v>27</v>
      </c>
      <c r="L171" s="10">
        <f>IFERROR(VLOOKUP(C171,Parâmetros!$A$5:$D$7,IF(D171="Mensal",2,IF(D171="Trimestral",3,4)),0),0)</f>
        <v>14.99</v>
      </c>
      <c r="M171" s="10">
        <f>IF(G171="Sim",VLOOKUP("EA Play",Parâmetros!$A$11:$B$13,2,0),0)*K171</f>
        <v>134.73000000000002</v>
      </c>
      <c r="N171" s="10">
        <f>IF(H171="Sim",VLOOKUP("Minecraft Pass",Parâmetros!$A$11:$B$13,2,0),0)*K171</f>
        <v>0</v>
      </c>
      <c r="O171" s="10">
        <f>IF(I171="Sim",VLOOKUP("Call of Duty Pass",Parâmetros!$A$11:$B$13,2,0),0)*K171</f>
        <v>0</v>
      </c>
      <c r="P171" s="10">
        <f>(L171*K171+M171+N171+O171)*IF(F171="Promoção",1-Parâmetros!$B$22,1)</f>
        <v>485.51400000000007</v>
      </c>
      <c r="Q171" s="10">
        <f>Parâmetros!$B$20*K171</f>
        <v>324</v>
      </c>
      <c r="R171" s="10">
        <f>P171-Q171</f>
        <v>161.51400000000007</v>
      </c>
    </row>
    <row r="172" spans="1:18">
      <c r="A172">
        <v>171</v>
      </c>
      <c r="B172" s="8">
        <v>45787</v>
      </c>
      <c r="C172" t="s">
        <v>7</v>
      </c>
      <c r="D172" t="s">
        <v>46</v>
      </c>
      <c r="E172" t="s">
        <v>41</v>
      </c>
      <c r="F172" t="s">
        <v>54</v>
      </c>
      <c r="G172" t="s">
        <v>43</v>
      </c>
      <c r="H172" t="s">
        <v>44</v>
      </c>
      <c r="I172" t="s">
        <v>44</v>
      </c>
      <c r="J172" t="s">
        <v>49</v>
      </c>
      <c r="K172" s="9">
        <v>24</v>
      </c>
      <c r="L172" s="10">
        <f>IFERROR(VLOOKUP(C172,Parâmetros!$A$5:$D$7,IF(D172="Mensal",2,IF(D172="Trimestral",3,4)),0),0)</f>
        <v>14.99</v>
      </c>
      <c r="M172" s="10">
        <f>IF(G172="Sim",VLOOKUP("EA Play",Parâmetros!$A$11:$B$13,2,0),0)*K172</f>
        <v>119.76</v>
      </c>
      <c r="N172" s="10">
        <f>IF(H172="Sim",VLOOKUP("Minecraft Pass",Parâmetros!$A$11:$B$13,2,0),0)*K172</f>
        <v>0</v>
      </c>
      <c r="O172" s="10">
        <f>IF(I172="Sim",VLOOKUP("Call of Duty Pass",Parâmetros!$A$11:$B$13,2,0),0)*K172</f>
        <v>0</v>
      </c>
      <c r="P172" s="10">
        <f>(L172*K172+M172+N172+O172)*IF(F172="Promoção",1-Parâmetros!$B$22,1)</f>
        <v>431.56799999999998</v>
      </c>
      <c r="Q172" s="10">
        <f>Parâmetros!$B$20*K172</f>
        <v>288</v>
      </c>
      <c r="R172" s="10">
        <f>P172-Q172</f>
        <v>143.56799999999998</v>
      </c>
    </row>
    <row r="173" spans="1:18">
      <c r="A173">
        <v>172</v>
      </c>
      <c r="B173" s="8">
        <v>45819</v>
      </c>
      <c r="C173" t="s">
        <v>7</v>
      </c>
      <c r="D173" t="s">
        <v>46</v>
      </c>
      <c r="E173" t="s">
        <v>47</v>
      </c>
      <c r="F173" t="s">
        <v>42</v>
      </c>
      <c r="G173" t="s">
        <v>43</v>
      </c>
      <c r="H173" t="s">
        <v>43</v>
      </c>
      <c r="I173" t="s">
        <v>43</v>
      </c>
      <c r="J173" t="s">
        <v>49</v>
      </c>
      <c r="K173" s="9">
        <v>27</v>
      </c>
      <c r="L173" s="10">
        <f>IFERROR(VLOOKUP(C173,Parâmetros!$A$5:$D$7,IF(D173="Mensal",2,IF(D173="Trimestral",3,4)),0),0)</f>
        <v>14.99</v>
      </c>
      <c r="M173" s="10">
        <f>IF(G173="Sim",VLOOKUP("EA Play",Parâmetros!$A$11:$B$13,2,0),0)*K173</f>
        <v>134.73000000000002</v>
      </c>
      <c r="N173" s="10">
        <f>IF(H173="Sim",VLOOKUP("Minecraft Pass",Parâmetros!$A$11:$B$13,2,0),0)*K173</f>
        <v>107.73</v>
      </c>
      <c r="O173" s="10">
        <f>IF(I173="Sim",VLOOKUP("Call of Duty Pass",Parâmetros!$A$11:$B$13,2,0),0)*K173</f>
        <v>188.73000000000002</v>
      </c>
      <c r="P173" s="10">
        <f>(L173*K173+M173+N173+O173)*IF(F173="Promoção",1-Parâmetros!$B$22,1)</f>
        <v>835.92000000000007</v>
      </c>
      <c r="Q173" s="10">
        <f>Parâmetros!$B$20*K173</f>
        <v>324</v>
      </c>
      <c r="R173" s="10">
        <f>P173-Q173</f>
        <v>511.92000000000007</v>
      </c>
    </row>
    <row r="174" spans="1:18">
      <c r="A174">
        <v>173</v>
      </c>
      <c r="B174" s="8">
        <v>45546</v>
      </c>
      <c r="C174" t="s">
        <v>8</v>
      </c>
      <c r="D174" t="s">
        <v>50</v>
      </c>
      <c r="E174" t="s">
        <v>51</v>
      </c>
      <c r="F174" t="s">
        <v>54</v>
      </c>
      <c r="G174" t="s">
        <v>44</v>
      </c>
      <c r="H174" t="s">
        <v>43</v>
      </c>
      <c r="I174" t="s">
        <v>43</v>
      </c>
      <c r="J174" t="s">
        <v>45</v>
      </c>
      <c r="K174" s="9">
        <v>30</v>
      </c>
      <c r="L174" s="10">
        <f>IFERROR(VLOOKUP(C174,Parâmetros!$A$5:$D$7,IF(D174="Mensal",2,IF(D174="Trimestral",3,4)),0),0)</f>
        <v>219</v>
      </c>
      <c r="M174" s="10">
        <f>IF(G174="Sim",VLOOKUP("EA Play",Parâmetros!$A$11:$B$13,2,0),0)*K174</f>
        <v>0</v>
      </c>
      <c r="N174" s="10">
        <f>IF(H174="Sim",VLOOKUP("Minecraft Pass",Parâmetros!$A$11:$B$13,2,0),0)*K174</f>
        <v>119.7</v>
      </c>
      <c r="O174" s="10">
        <f>IF(I174="Sim",VLOOKUP("Call of Duty Pass",Parâmetros!$A$11:$B$13,2,0),0)*K174</f>
        <v>209.70000000000002</v>
      </c>
      <c r="P174" s="10">
        <f>(L174*K174+M174+N174+O174)*IF(F174="Promoção",1-Parâmetros!$B$22,1)</f>
        <v>6209.46</v>
      </c>
      <c r="Q174" s="10">
        <f>Parâmetros!$B$20*K174</f>
        <v>360</v>
      </c>
      <c r="R174" s="10">
        <f>P174-Q174</f>
        <v>5849.46</v>
      </c>
    </row>
    <row r="175" spans="1:18">
      <c r="A175">
        <v>174</v>
      </c>
      <c r="B175" s="8">
        <v>45802</v>
      </c>
      <c r="C175" t="s">
        <v>8</v>
      </c>
      <c r="D175" t="s">
        <v>46</v>
      </c>
      <c r="E175" t="s">
        <v>41</v>
      </c>
      <c r="F175" t="s">
        <v>42</v>
      </c>
      <c r="G175" t="s">
        <v>44</v>
      </c>
      <c r="H175" t="s">
        <v>43</v>
      </c>
      <c r="I175" t="s">
        <v>44</v>
      </c>
      <c r="J175" t="s">
        <v>49</v>
      </c>
      <c r="K175" s="9">
        <v>19</v>
      </c>
      <c r="L175" s="10">
        <f>IFERROR(VLOOKUP(C175,Parâmetros!$A$5:$D$7,IF(D175="Mensal",2,IF(D175="Trimestral",3,4)),0),0)</f>
        <v>21.99</v>
      </c>
      <c r="M175" s="10">
        <f>IF(G175="Sim",VLOOKUP("EA Play",Parâmetros!$A$11:$B$13,2,0),0)*K175</f>
        <v>0</v>
      </c>
      <c r="N175" s="10">
        <f>IF(H175="Sim",VLOOKUP("Minecraft Pass",Parâmetros!$A$11:$B$13,2,0),0)*K175</f>
        <v>75.81</v>
      </c>
      <c r="O175" s="10">
        <f>IF(I175="Sim",VLOOKUP("Call of Duty Pass",Parâmetros!$A$11:$B$13,2,0),0)*K175</f>
        <v>0</v>
      </c>
      <c r="P175" s="10">
        <f>(L175*K175+M175+N175+O175)*IF(F175="Promoção",1-Parâmetros!$B$22,1)</f>
        <v>493.61999999999995</v>
      </c>
      <c r="Q175" s="10">
        <f>Parâmetros!$B$20*K175</f>
        <v>228</v>
      </c>
      <c r="R175" s="10">
        <f>P175-Q175</f>
        <v>265.61999999999995</v>
      </c>
    </row>
    <row r="176" spans="1:18">
      <c r="A176">
        <v>175</v>
      </c>
      <c r="B176" s="8">
        <v>45798</v>
      </c>
      <c r="C176" t="s">
        <v>7</v>
      </c>
      <c r="D176" t="s">
        <v>50</v>
      </c>
      <c r="E176" t="s">
        <v>51</v>
      </c>
      <c r="F176" t="s">
        <v>42</v>
      </c>
      <c r="G176" t="s">
        <v>43</v>
      </c>
      <c r="H176" t="s">
        <v>43</v>
      </c>
      <c r="I176" t="s">
        <v>43</v>
      </c>
      <c r="J176" t="s">
        <v>49</v>
      </c>
      <c r="K176" s="9">
        <v>24</v>
      </c>
      <c r="L176" s="10">
        <f>IFERROR(VLOOKUP(C176,Parâmetros!$A$5:$D$7,IF(D176="Mensal",2,IF(D176="Trimestral",3,4)),0),0)</f>
        <v>149</v>
      </c>
      <c r="M176" s="10">
        <f>IF(G176="Sim",VLOOKUP("EA Play",Parâmetros!$A$11:$B$13,2,0),0)*K176</f>
        <v>119.76</v>
      </c>
      <c r="N176" s="10">
        <f>IF(H176="Sim",VLOOKUP("Minecraft Pass",Parâmetros!$A$11:$B$13,2,0),0)*K176</f>
        <v>95.76</v>
      </c>
      <c r="O176" s="10">
        <f>IF(I176="Sim",VLOOKUP("Call of Duty Pass",Parâmetros!$A$11:$B$13,2,0),0)*K176</f>
        <v>167.76</v>
      </c>
      <c r="P176" s="10">
        <f>(L176*K176+M176+N176+O176)*IF(F176="Promoção",1-Parâmetros!$B$22,1)</f>
        <v>3959.2800000000007</v>
      </c>
      <c r="Q176" s="10">
        <f>Parâmetros!$B$20*K176</f>
        <v>288</v>
      </c>
      <c r="R176" s="10">
        <f>P176-Q176</f>
        <v>3671.2800000000007</v>
      </c>
    </row>
    <row r="177" spans="1:18">
      <c r="A177">
        <v>176</v>
      </c>
      <c r="B177" s="8">
        <v>45704</v>
      </c>
      <c r="C177" t="s">
        <v>6</v>
      </c>
      <c r="D177" t="s">
        <v>46</v>
      </c>
      <c r="E177" t="s">
        <v>47</v>
      </c>
      <c r="F177" t="s">
        <v>42</v>
      </c>
      <c r="G177" t="s">
        <v>44</v>
      </c>
      <c r="H177" t="s">
        <v>43</v>
      </c>
      <c r="I177" t="s">
        <v>44</v>
      </c>
      <c r="J177" t="s">
        <v>45</v>
      </c>
      <c r="K177" s="9">
        <v>18</v>
      </c>
      <c r="L177" s="10">
        <f>IFERROR(VLOOKUP(C177,Parâmetros!$A$5:$D$7,IF(D177="Mensal",2,IF(D177="Trimestral",3,4)),0),0)</f>
        <v>9.99</v>
      </c>
      <c r="M177" s="10">
        <f>IF(G177="Sim",VLOOKUP("EA Play",Parâmetros!$A$11:$B$13,2,0),0)*K177</f>
        <v>0</v>
      </c>
      <c r="N177" s="10">
        <f>IF(H177="Sim",VLOOKUP("Minecraft Pass",Parâmetros!$A$11:$B$13,2,0),0)*K177</f>
        <v>71.820000000000007</v>
      </c>
      <c r="O177" s="10">
        <f>IF(I177="Sim",VLOOKUP("Call of Duty Pass",Parâmetros!$A$11:$B$13,2,0),0)*K177</f>
        <v>0</v>
      </c>
      <c r="P177" s="10">
        <f>(L177*K177+M177+N177+O177)*IF(F177="Promoção",1-Parâmetros!$B$22,1)</f>
        <v>251.64</v>
      </c>
      <c r="Q177" s="10">
        <f>Parâmetros!$B$20*K177</f>
        <v>216</v>
      </c>
      <c r="R177" s="10">
        <f>P177-Q177</f>
        <v>35.639999999999986</v>
      </c>
    </row>
    <row r="178" spans="1:18">
      <c r="A178">
        <v>177</v>
      </c>
      <c r="B178" s="8">
        <v>45930</v>
      </c>
      <c r="C178" t="s">
        <v>7</v>
      </c>
      <c r="D178" t="s">
        <v>46</v>
      </c>
      <c r="E178" t="s">
        <v>53</v>
      </c>
      <c r="F178" t="s">
        <v>42</v>
      </c>
      <c r="G178" t="s">
        <v>44</v>
      </c>
      <c r="H178" t="s">
        <v>43</v>
      </c>
      <c r="I178" t="s">
        <v>44</v>
      </c>
      <c r="J178" t="s">
        <v>45</v>
      </c>
      <c r="K178" s="9">
        <v>13</v>
      </c>
      <c r="L178" s="10">
        <f>IFERROR(VLOOKUP(C178,Parâmetros!$A$5:$D$7,IF(D178="Mensal",2,IF(D178="Trimestral",3,4)),0),0)</f>
        <v>14.99</v>
      </c>
      <c r="M178" s="10">
        <f>IF(G178="Sim",VLOOKUP("EA Play",Parâmetros!$A$11:$B$13,2,0),0)*K178</f>
        <v>0</v>
      </c>
      <c r="N178" s="10">
        <f>IF(H178="Sim",VLOOKUP("Minecraft Pass",Parâmetros!$A$11:$B$13,2,0),0)*K178</f>
        <v>51.870000000000005</v>
      </c>
      <c r="O178" s="10">
        <f>IF(I178="Sim",VLOOKUP("Call of Duty Pass",Parâmetros!$A$11:$B$13,2,0),0)*K178</f>
        <v>0</v>
      </c>
      <c r="P178" s="10">
        <f>(L178*K178+M178+N178+O178)*IF(F178="Promoção",1-Parâmetros!$B$22,1)</f>
        <v>246.74</v>
      </c>
      <c r="Q178" s="10">
        <f>Parâmetros!$B$20*K178</f>
        <v>156</v>
      </c>
      <c r="R178" s="10">
        <f>P178-Q178</f>
        <v>90.740000000000009</v>
      </c>
    </row>
    <row r="179" spans="1:18">
      <c r="A179">
        <v>178</v>
      </c>
      <c r="B179" s="8">
        <v>45908</v>
      </c>
      <c r="C179" t="s">
        <v>7</v>
      </c>
      <c r="D179" t="s">
        <v>40</v>
      </c>
      <c r="E179" t="s">
        <v>41</v>
      </c>
      <c r="F179" t="s">
        <v>42</v>
      </c>
      <c r="G179" t="s">
        <v>43</v>
      </c>
      <c r="H179" t="s">
        <v>44</v>
      </c>
      <c r="I179" t="s">
        <v>44</v>
      </c>
      <c r="J179" t="s">
        <v>45</v>
      </c>
      <c r="K179" s="9">
        <v>33</v>
      </c>
      <c r="L179" s="10">
        <f>IFERROR(VLOOKUP(C179,Parâmetros!$A$5:$D$7,IF(D179="Mensal",2,IF(D179="Trimestral",3,4)),0),0)</f>
        <v>40</v>
      </c>
      <c r="M179" s="10">
        <f>IF(G179="Sim",VLOOKUP("EA Play",Parâmetros!$A$11:$B$13,2,0),0)*K179</f>
        <v>164.67000000000002</v>
      </c>
      <c r="N179" s="10">
        <f>IF(H179="Sim",VLOOKUP("Minecraft Pass",Parâmetros!$A$11:$B$13,2,0),0)*K179</f>
        <v>0</v>
      </c>
      <c r="O179" s="10">
        <f>IF(I179="Sim",VLOOKUP("Call of Duty Pass",Parâmetros!$A$11:$B$13,2,0),0)*K179</f>
        <v>0</v>
      </c>
      <c r="P179" s="10">
        <f>(L179*K179+M179+N179+O179)*IF(F179="Promoção",1-Parâmetros!$B$22,1)</f>
        <v>1484.67</v>
      </c>
      <c r="Q179" s="10">
        <f>Parâmetros!$B$20*K179</f>
        <v>396</v>
      </c>
      <c r="R179" s="10">
        <f>P179-Q179</f>
        <v>1088.67</v>
      </c>
    </row>
    <row r="180" spans="1:18">
      <c r="A180">
        <v>179</v>
      </c>
      <c r="B180" s="8">
        <v>45435</v>
      </c>
      <c r="C180" t="s">
        <v>6</v>
      </c>
      <c r="D180" t="s">
        <v>40</v>
      </c>
      <c r="E180" t="s">
        <v>41</v>
      </c>
      <c r="F180" t="s">
        <v>54</v>
      </c>
      <c r="G180" t="s">
        <v>44</v>
      </c>
      <c r="H180" t="s">
        <v>43</v>
      </c>
      <c r="I180" t="s">
        <v>44</v>
      </c>
      <c r="J180" t="s">
        <v>45</v>
      </c>
      <c r="K180" s="9">
        <v>35</v>
      </c>
      <c r="L180" s="10">
        <f>IFERROR(VLOOKUP(C180,Parâmetros!$A$5:$D$7,IF(D180="Mensal",2,IF(D180="Trimestral",3,4)),0),0)</f>
        <v>27</v>
      </c>
      <c r="M180" s="10">
        <f>IF(G180="Sim",VLOOKUP("EA Play",Parâmetros!$A$11:$B$13,2,0),0)*K180</f>
        <v>0</v>
      </c>
      <c r="N180" s="10">
        <f>IF(H180="Sim",VLOOKUP("Minecraft Pass",Parâmetros!$A$11:$B$13,2,0),0)*K180</f>
        <v>139.65</v>
      </c>
      <c r="O180" s="10">
        <f>IF(I180="Sim",VLOOKUP("Call of Duty Pass",Parâmetros!$A$11:$B$13,2,0),0)*K180</f>
        <v>0</v>
      </c>
      <c r="P180" s="10">
        <f>(L180*K180+M180+N180+O180)*IF(F180="Promoção",1-Parâmetros!$B$22,1)</f>
        <v>976.18500000000006</v>
      </c>
      <c r="Q180" s="10">
        <f>Parâmetros!$B$20*K180</f>
        <v>420</v>
      </c>
      <c r="R180" s="10">
        <f>P180-Q180</f>
        <v>556.18500000000006</v>
      </c>
    </row>
    <row r="181" spans="1:18">
      <c r="A181">
        <v>180</v>
      </c>
      <c r="B181" s="8">
        <v>45793</v>
      </c>
      <c r="C181" t="s">
        <v>7</v>
      </c>
      <c r="D181" t="s">
        <v>46</v>
      </c>
      <c r="E181" t="s">
        <v>51</v>
      </c>
      <c r="F181" t="s">
        <v>42</v>
      </c>
      <c r="G181" t="s">
        <v>44</v>
      </c>
      <c r="H181" t="s">
        <v>44</v>
      </c>
      <c r="I181" t="s">
        <v>44</v>
      </c>
      <c r="J181" t="s">
        <v>45</v>
      </c>
      <c r="K181" s="9">
        <v>2</v>
      </c>
      <c r="L181" s="10">
        <f>IFERROR(VLOOKUP(C181,Parâmetros!$A$5:$D$7,IF(D181="Mensal",2,IF(D181="Trimestral",3,4)),0),0)</f>
        <v>14.99</v>
      </c>
      <c r="M181" s="10">
        <f>IF(G181="Sim",VLOOKUP("EA Play",Parâmetros!$A$11:$B$13,2,0),0)*K181</f>
        <v>0</v>
      </c>
      <c r="N181" s="10">
        <f>IF(H181="Sim",VLOOKUP("Minecraft Pass",Parâmetros!$A$11:$B$13,2,0),0)*K181</f>
        <v>0</v>
      </c>
      <c r="O181" s="10">
        <f>IF(I181="Sim",VLOOKUP("Call of Duty Pass",Parâmetros!$A$11:$B$13,2,0),0)*K181</f>
        <v>0</v>
      </c>
      <c r="P181" s="10">
        <f>(L181*K181+M181+N181+O181)*IF(F181="Promoção",1-Parâmetros!$B$22,1)</f>
        <v>29.98</v>
      </c>
      <c r="Q181" s="10">
        <f>Parâmetros!$B$20*K181</f>
        <v>24</v>
      </c>
      <c r="R181" s="10">
        <f>P181-Q181</f>
        <v>5.98</v>
      </c>
    </row>
    <row r="182" spans="1:18">
      <c r="A182">
        <v>181</v>
      </c>
      <c r="B182" s="8">
        <v>45903</v>
      </c>
      <c r="C182" t="s">
        <v>7</v>
      </c>
      <c r="D182" t="s">
        <v>50</v>
      </c>
      <c r="E182" t="s">
        <v>51</v>
      </c>
      <c r="F182" t="s">
        <v>52</v>
      </c>
      <c r="G182" t="s">
        <v>44</v>
      </c>
      <c r="H182" t="s">
        <v>44</v>
      </c>
      <c r="I182" t="s">
        <v>44</v>
      </c>
      <c r="J182" t="s">
        <v>49</v>
      </c>
      <c r="K182" s="9">
        <v>25</v>
      </c>
      <c r="L182" s="10">
        <f>IFERROR(VLOOKUP(C182,Parâmetros!$A$5:$D$7,IF(D182="Mensal",2,IF(D182="Trimestral",3,4)),0),0)</f>
        <v>149</v>
      </c>
      <c r="M182" s="10">
        <f>IF(G182="Sim",VLOOKUP("EA Play",Parâmetros!$A$11:$B$13,2,0),0)*K182</f>
        <v>0</v>
      </c>
      <c r="N182" s="10">
        <f>IF(H182="Sim",VLOOKUP("Minecraft Pass",Parâmetros!$A$11:$B$13,2,0),0)*K182</f>
        <v>0</v>
      </c>
      <c r="O182" s="10">
        <f>IF(I182="Sim",VLOOKUP("Call of Duty Pass",Parâmetros!$A$11:$B$13,2,0),0)*K182</f>
        <v>0</v>
      </c>
      <c r="P182" s="10">
        <f>(L182*K182+M182+N182+O182)*IF(F182="Promoção",1-Parâmetros!$B$22,1)</f>
        <v>3725</v>
      </c>
      <c r="Q182" s="10">
        <f>Parâmetros!$B$20*K182</f>
        <v>300</v>
      </c>
      <c r="R182" s="10">
        <f>P182-Q182</f>
        <v>3425</v>
      </c>
    </row>
    <row r="183" spans="1:18">
      <c r="A183">
        <v>182</v>
      </c>
      <c r="B183" s="8">
        <v>45443</v>
      </c>
      <c r="C183" t="s">
        <v>8</v>
      </c>
      <c r="D183" t="s">
        <v>46</v>
      </c>
      <c r="E183" t="s">
        <v>47</v>
      </c>
      <c r="F183" t="s">
        <v>52</v>
      </c>
      <c r="G183" t="s">
        <v>43</v>
      </c>
      <c r="H183" t="s">
        <v>44</v>
      </c>
      <c r="I183" t="s">
        <v>44</v>
      </c>
      <c r="J183" t="s">
        <v>49</v>
      </c>
      <c r="K183" s="9">
        <v>14</v>
      </c>
      <c r="L183" s="10">
        <f>IFERROR(VLOOKUP(C183,Parâmetros!$A$5:$D$7,IF(D183="Mensal",2,IF(D183="Trimestral",3,4)),0),0)</f>
        <v>21.99</v>
      </c>
      <c r="M183" s="10">
        <f>IF(G183="Sim",VLOOKUP("EA Play",Parâmetros!$A$11:$B$13,2,0),0)*K183</f>
        <v>69.86</v>
      </c>
      <c r="N183" s="10">
        <f>IF(H183="Sim",VLOOKUP("Minecraft Pass",Parâmetros!$A$11:$B$13,2,0),0)*K183</f>
        <v>0</v>
      </c>
      <c r="O183" s="10">
        <f>IF(I183="Sim",VLOOKUP("Call of Duty Pass",Parâmetros!$A$11:$B$13,2,0),0)*K183</f>
        <v>0</v>
      </c>
      <c r="P183" s="10">
        <f>(L183*K183+M183+N183+O183)*IF(F183="Promoção",1-Parâmetros!$B$22,1)</f>
        <v>377.71999999999997</v>
      </c>
      <c r="Q183" s="10">
        <f>Parâmetros!$B$20*K183</f>
        <v>168</v>
      </c>
      <c r="R183" s="10">
        <f>P183-Q183</f>
        <v>209.71999999999997</v>
      </c>
    </row>
    <row r="184" spans="1:18">
      <c r="A184">
        <v>183</v>
      </c>
      <c r="B184" s="8">
        <v>45712</v>
      </c>
      <c r="C184" t="s">
        <v>7</v>
      </c>
      <c r="D184" t="s">
        <v>40</v>
      </c>
      <c r="E184" t="s">
        <v>47</v>
      </c>
      <c r="F184" t="s">
        <v>54</v>
      </c>
      <c r="G184" t="s">
        <v>44</v>
      </c>
      <c r="H184" t="s">
        <v>44</v>
      </c>
      <c r="I184" t="s">
        <v>44</v>
      </c>
      <c r="J184" t="s">
        <v>45</v>
      </c>
      <c r="K184" s="9">
        <v>31</v>
      </c>
      <c r="L184" s="10">
        <f>IFERROR(VLOOKUP(C184,Parâmetros!$A$5:$D$7,IF(D184="Mensal",2,IF(D184="Trimestral",3,4)),0),0)</f>
        <v>40</v>
      </c>
      <c r="M184" s="10">
        <f>IF(G184="Sim",VLOOKUP("EA Play",Parâmetros!$A$11:$B$13,2,0),0)*K184</f>
        <v>0</v>
      </c>
      <c r="N184" s="10">
        <f>IF(H184="Sim",VLOOKUP("Minecraft Pass",Parâmetros!$A$11:$B$13,2,0),0)*K184</f>
        <v>0</v>
      </c>
      <c r="O184" s="10">
        <f>IF(I184="Sim",VLOOKUP("Call of Duty Pass",Parâmetros!$A$11:$B$13,2,0),0)*K184</f>
        <v>0</v>
      </c>
      <c r="P184" s="10">
        <f>(L184*K184+M184+N184+O184)*IF(F184="Promoção",1-Parâmetros!$B$22,1)</f>
        <v>1116</v>
      </c>
      <c r="Q184" s="10">
        <f>Parâmetros!$B$20*K184</f>
        <v>372</v>
      </c>
      <c r="R184" s="10">
        <f>P184-Q184</f>
        <v>744</v>
      </c>
    </row>
    <row r="185" spans="1:18">
      <c r="A185">
        <v>184</v>
      </c>
      <c r="B185" s="8">
        <v>45830</v>
      </c>
      <c r="C185" t="s">
        <v>6</v>
      </c>
      <c r="D185" t="s">
        <v>50</v>
      </c>
      <c r="E185" t="s">
        <v>47</v>
      </c>
      <c r="F185" t="s">
        <v>48</v>
      </c>
      <c r="G185" t="s">
        <v>44</v>
      </c>
      <c r="H185" t="s">
        <v>44</v>
      </c>
      <c r="I185" t="s">
        <v>44</v>
      </c>
      <c r="J185" t="s">
        <v>45</v>
      </c>
      <c r="K185" s="9">
        <v>17</v>
      </c>
      <c r="L185" s="10">
        <f>IFERROR(VLOOKUP(C185,Parâmetros!$A$5:$D$7,IF(D185="Mensal",2,IF(D185="Trimestral",3,4)),0),0)</f>
        <v>99</v>
      </c>
      <c r="M185" s="10">
        <f>IF(G185="Sim",VLOOKUP("EA Play",Parâmetros!$A$11:$B$13,2,0),0)*K185</f>
        <v>0</v>
      </c>
      <c r="N185" s="10">
        <f>IF(H185="Sim",VLOOKUP("Minecraft Pass",Parâmetros!$A$11:$B$13,2,0),0)*K185</f>
        <v>0</v>
      </c>
      <c r="O185" s="10">
        <f>IF(I185="Sim",VLOOKUP("Call of Duty Pass",Parâmetros!$A$11:$B$13,2,0),0)*K185</f>
        <v>0</v>
      </c>
      <c r="P185" s="10">
        <f>(L185*K185+M185+N185+O185)*IF(F185="Promoção",1-Parâmetros!$B$22,1)</f>
        <v>1683</v>
      </c>
      <c r="Q185" s="10">
        <f>Parâmetros!$B$20*K185</f>
        <v>204</v>
      </c>
      <c r="R185" s="10">
        <f>P185-Q185</f>
        <v>1479</v>
      </c>
    </row>
    <row r="186" spans="1:18">
      <c r="A186">
        <v>185</v>
      </c>
      <c r="B186" s="8">
        <v>45916</v>
      </c>
      <c r="C186" t="s">
        <v>7</v>
      </c>
      <c r="D186" t="s">
        <v>50</v>
      </c>
      <c r="E186" t="s">
        <v>41</v>
      </c>
      <c r="F186" t="s">
        <v>42</v>
      </c>
      <c r="G186" t="s">
        <v>44</v>
      </c>
      <c r="H186" t="s">
        <v>44</v>
      </c>
      <c r="I186" t="s">
        <v>44</v>
      </c>
      <c r="J186" t="s">
        <v>45</v>
      </c>
      <c r="K186" s="9">
        <v>32</v>
      </c>
      <c r="L186" s="10">
        <f>IFERROR(VLOOKUP(C186,Parâmetros!$A$5:$D$7,IF(D186="Mensal",2,IF(D186="Trimestral",3,4)),0),0)</f>
        <v>149</v>
      </c>
      <c r="M186" s="10">
        <f>IF(G186="Sim",VLOOKUP("EA Play",Parâmetros!$A$11:$B$13,2,0),0)*K186</f>
        <v>0</v>
      </c>
      <c r="N186" s="10">
        <f>IF(H186="Sim",VLOOKUP("Minecraft Pass",Parâmetros!$A$11:$B$13,2,0),0)*K186</f>
        <v>0</v>
      </c>
      <c r="O186" s="10">
        <f>IF(I186="Sim",VLOOKUP("Call of Duty Pass",Parâmetros!$A$11:$B$13,2,0),0)*K186</f>
        <v>0</v>
      </c>
      <c r="P186" s="10">
        <f>(L186*K186+M186+N186+O186)*IF(F186="Promoção",1-Parâmetros!$B$22,1)</f>
        <v>4768</v>
      </c>
      <c r="Q186" s="10">
        <f>Parâmetros!$B$20*K186</f>
        <v>384</v>
      </c>
      <c r="R186" s="10">
        <f>P186-Q186</f>
        <v>4384</v>
      </c>
    </row>
    <row r="187" spans="1:18">
      <c r="A187">
        <v>186</v>
      </c>
      <c r="B187" s="8">
        <v>45616</v>
      </c>
      <c r="C187" t="s">
        <v>7</v>
      </c>
      <c r="D187" t="s">
        <v>40</v>
      </c>
      <c r="E187" t="s">
        <v>55</v>
      </c>
      <c r="F187" t="s">
        <v>52</v>
      </c>
      <c r="G187" t="s">
        <v>43</v>
      </c>
      <c r="H187" t="s">
        <v>44</v>
      </c>
      <c r="I187" t="s">
        <v>44</v>
      </c>
      <c r="J187" t="s">
        <v>45</v>
      </c>
      <c r="K187" s="9">
        <v>26</v>
      </c>
      <c r="L187" s="10">
        <f>IFERROR(VLOOKUP(C187,Parâmetros!$A$5:$D$7,IF(D187="Mensal",2,IF(D187="Trimestral",3,4)),0),0)</f>
        <v>40</v>
      </c>
      <c r="M187" s="10">
        <f>IF(G187="Sim",VLOOKUP("EA Play",Parâmetros!$A$11:$B$13,2,0),0)*K187</f>
        <v>129.74</v>
      </c>
      <c r="N187" s="10">
        <f>IF(H187="Sim",VLOOKUP("Minecraft Pass",Parâmetros!$A$11:$B$13,2,0),0)*K187</f>
        <v>0</v>
      </c>
      <c r="O187" s="10">
        <f>IF(I187="Sim",VLOOKUP("Call of Duty Pass",Parâmetros!$A$11:$B$13,2,0),0)*K187</f>
        <v>0</v>
      </c>
      <c r="P187" s="10">
        <f>(L187*K187+M187+N187+O187)*IF(F187="Promoção",1-Parâmetros!$B$22,1)</f>
        <v>1169.74</v>
      </c>
      <c r="Q187" s="10">
        <f>Parâmetros!$B$20*K187</f>
        <v>312</v>
      </c>
      <c r="R187" s="10">
        <f>P187-Q187</f>
        <v>857.74</v>
      </c>
    </row>
    <row r="188" spans="1:18">
      <c r="A188">
        <v>187</v>
      </c>
      <c r="B188" s="8">
        <v>45645</v>
      </c>
      <c r="C188" t="s">
        <v>8</v>
      </c>
      <c r="D188" t="s">
        <v>50</v>
      </c>
      <c r="E188" t="s">
        <v>41</v>
      </c>
      <c r="F188" t="s">
        <v>42</v>
      </c>
      <c r="G188" t="s">
        <v>44</v>
      </c>
      <c r="H188" t="s">
        <v>43</v>
      </c>
      <c r="I188" t="s">
        <v>44</v>
      </c>
      <c r="J188" t="s">
        <v>49</v>
      </c>
      <c r="K188" s="9">
        <v>31</v>
      </c>
      <c r="L188" s="10">
        <f>IFERROR(VLOOKUP(C188,Parâmetros!$A$5:$D$7,IF(D188="Mensal",2,IF(D188="Trimestral",3,4)),0),0)</f>
        <v>219</v>
      </c>
      <c r="M188" s="10">
        <f>IF(G188="Sim",VLOOKUP("EA Play",Parâmetros!$A$11:$B$13,2,0),0)*K188</f>
        <v>0</v>
      </c>
      <c r="N188" s="10">
        <f>IF(H188="Sim",VLOOKUP("Minecraft Pass",Parâmetros!$A$11:$B$13,2,0),0)*K188</f>
        <v>123.69000000000001</v>
      </c>
      <c r="O188" s="10">
        <f>IF(I188="Sim",VLOOKUP("Call of Duty Pass",Parâmetros!$A$11:$B$13,2,0),0)*K188</f>
        <v>0</v>
      </c>
      <c r="P188" s="10">
        <f>(L188*K188+M188+N188+O188)*IF(F188="Promoção",1-Parâmetros!$B$22,1)</f>
        <v>6912.69</v>
      </c>
      <c r="Q188" s="10">
        <f>Parâmetros!$B$20*K188</f>
        <v>372</v>
      </c>
      <c r="R188" s="10">
        <f>P188-Q188</f>
        <v>6540.69</v>
      </c>
    </row>
    <row r="189" spans="1:18">
      <c r="A189">
        <v>188</v>
      </c>
      <c r="B189" s="8">
        <v>45511</v>
      </c>
      <c r="C189" t="s">
        <v>6</v>
      </c>
      <c r="D189" t="s">
        <v>40</v>
      </c>
      <c r="E189" t="s">
        <v>55</v>
      </c>
      <c r="F189" t="s">
        <v>52</v>
      </c>
      <c r="G189" t="s">
        <v>43</v>
      </c>
      <c r="H189" t="s">
        <v>44</v>
      </c>
      <c r="I189" t="s">
        <v>44</v>
      </c>
      <c r="J189" t="s">
        <v>49</v>
      </c>
      <c r="K189" s="9">
        <v>34</v>
      </c>
      <c r="L189" s="10">
        <f>IFERROR(VLOOKUP(C189,Parâmetros!$A$5:$D$7,IF(D189="Mensal",2,IF(D189="Trimestral",3,4)),0),0)</f>
        <v>27</v>
      </c>
      <c r="M189" s="10">
        <f>IF(G189="Sim",VLOOKUP("EA Play",Parâmetros!$A$11:$B$13,2,0),0)*K189</f>
        <v>169.66</v>
      </c>
      <c r="N189" s="10">
        <f>IF(H189="Sim",VLOOKUP("Minecraft Pass",Parâmetros!$A$11:$B$13,2,0),0)*K189</f>
        <v>0</v>
      </c>
      <c r="O189" s="10">
        <f>IF(I189="Sim",VLOOKUP("Call of Duty Pass",Parâmetros!$A$11:$B$13,2,0),0)*K189</f>
        <v>0</v>
      </c>
      <c r="P189" s="10">
        <f>(L189*K189+M189+N189+O189)*IF(F189="Promoção",1-Parâmetros!$B$22,1)</f>
        <v>1087.6600000000001</v>
      </c>
      <c r="Q189" s="10">
        <f>Parâmetros!$B$20*K189</f>
        <v>408</v>
      </c>
      <c r="R189" s="10">
        <f>P189-Q189</f>
        <v>679.66000000000008</v>
      </c>
    </row>
    <row r="190" spans="1:18">
      <c r="A190">
        <v>189</v>
      </c>
      <c r="B190" s="8">
        <v>45523</v>
      </c>
      <c r="C190" t="s">
        <v>7</v>
      </c>
      <c r="D190" t="s">
        <v>46</v>
      </c>
      <c r="E190" t="s">
        <v>41</v>
      </c>
      <c r="F190" t="s">
        <v>52</v>
      </c>
      <c r="G190" t="s">
        <v>43</v>
      </c>
      <c r="H190" t="s">
        <v>44</v>
      </c>
      <c r="I190" t="s">
        <v>43</v>
      </c>
      <c r="J190" t="s">
        <v>45</v>
      </c>
      <c r="K190" s="9">
        <v>11</v>
      </c>
      <c r="L190" s="10">
        <f>IFERROR(VLOOKUP(C190,Parâmetros!$A$5:$D$7,IF(D190="Mensal",2,IF(D190="Trimestral",3,4)),0),0)</f>
        <v>14.99</v>
      </c>
      <c r="M190" s="10">
        <f>IF(G190="Sim",VLOOKUP("EA Play",Parâmetros!$A$11:$B$13,2,0),0)*K190</f>
        <v>54.89</v>
      </c>
      <c r="N190" s="10">
        <f>IF(H190="Sim",VLOOKUP("Minecraft Pass",Parâmetros!$A$11:$B$13,2,0),0)*K190</f>
        <v>0</v>
      </c>
      <c r="O190" s="10">
        <f>IF(I190="Sim",VLOOKUP("Call of Duty Pass",Parâmetros!$A$11:$B$13,2,0),0)*K190</f>
        <v>76.89</v>
      </c>
      <c r="P190" s="10">
        <f>(L190*K190+M190+N190+O190)*IF(F190="Promoção",1-Parâmetros!$B$22,1)</f>
        <v>296.67</v>
      </c>
      <c r="Q190" s="10">
        <f>Parâmetros!$B$20*K190</f>
        <v>132</v>
      </c>
      <c r="R190" s="10">
        <f>P190-Q190</f>
        <v>164.67000000000002</v>
      </c>
    </row>
    <row r="191" spans="1:18">
      <c r="A191">
        <v>190</v>
      </c>
      <c r="B191" s="8">
        <v>45708</v>
      </c>
      <c r="C191" t="s">
        <v>7</v>
      </c>
      <c r="D191" t="s">
        <v>50</v>
      </c>
      <c r="E191" t="s">
        <v>47</v>
      </c>
      <c r="F191" t="s">
        <v>52</v>
      </c>
      <c r="G191" t="s">
        <v>44</v>
      </c>
      <c r="H191" t="s">
        <v>43</v>
      </c>
      <c r="I191" t="s">
        <v>43</v>
      </c>
      <c r="J191" t="s">
        <v>49</v>
      </c>
      <c r="K191" s="9">
        <v>6</v>
      </c>
      <c r="L191" s="10">
        <f>IFERROR(VLOOKUP(C191,Parâmetros!$A$5:$D$7,IF(D191="Mensal",2,IF(D191="Trimestral",3,4)),0),0)</f>
        <v>149</v>
      </c>
      <c r="M191" s="10">
        <f>IF(G191="Sim",VLOOKUP("EA Play",Parâmetros!$A$11:$B$13,2,0),0)*K191</f>
        <v>0</v>
      </c>
      <c r="N191" s="10">
        <f>IF(H191="Sim",VLOOKUP("Minecraft Pass",Parâmetros!$A$11:$B$13,2,0),0)*K191</f>
        <v>23.94</v>
      </c>
      <c r="O191" s="10">
        <f>IF(I191="Sim",VLOOKUP("Call of Duty Pass",Parâmetros!$A$11:$B$13,2,0),0)*K191</f>
        <v>41.94</v>
      </c>
      <c r="P191" s="10">
        <f>(L191*K191+M191+N191+O191)*IF(F191="Promoção",1-Parâmetros!$B$22,1)</f>
        <v>959.88000000000011</v>
      </c>
      <c r="Q191" s="10">
        <f>Parâmetros!$B$20*K191</f>
        <v>72</v>
      </c>
      <c r="R191" s="10">
        <f>P191-Q191</f>
        <v>887.88000000000011</v>
      </c>
    </row>
    <row r="192" spans="1:18">
      <c r="A192">
        <v>191</v>
      </c>
      <c r="B192" s="8">
        <v>45959</v>
      </c>
      <c r="C192" t="s">
        <v>7</v>
      </c>
      <c r="D192" t="s">
        <v>40</v>
      </c>
      <c r="E192" t="s">
        <v>51</v>
      </c>
      <c r="F192" t="s">
        <v>54</v>
      </c>
      <c r="G192" t="s">
        <v>44</v>
      </c>
      <c r="H192" t="s">
        <v>43</v>
      </c>
      <c r="I192" t="s">
        <v>44</v>
      </c>
      <c r="J192" t="s">
        <v>49</v>
      </c>
      <c r="K192" s="9">
        <v>3</v>
      </c>
      <c r="L192" s="10">
        <f>IFERROR(VLOOKUP(C192,Parâmetros!$A$5:$D$7,IF(D192="Mensal",2,IF(D192="Trimestral",3,4)),0),0)</f>
        <v>40</v>
      </c>
      <c r="M192" s="10">
        <f>IF(G192="Sim",VLOOKUP("EA Play",Parâmetros!$A$11:$B$13,2,0),0)*K192</f>
        <v>0</v>
      </c>
      <c r="N192" s="10">
        <f>IF(H192="Sim",VLOOKUP("Minecraft Pass",Parâmetros!$A$11:$B$13,2,0),0)*K192</f>
        <v>11.97</v>
      </c>
      <c r="O192" s="10">
        <f>IF(I192="Sim",VLOOKUP("Call of Duty Pass",Parâmetros!$A$11:$B$13,2,0),0)*K192</f>
        <v>0</v>
      </c>
      <c r="P192" s="10">
        <f>(L192*K192+M192+N192+O192)*IF(F192="Promoção",1-Parâmetros!$B$22,1)</f>
        <v>118.773</v>
      </c>
      <c r="Q192" s="10">
        <f>Parâmetros!$B$20*K192</f>
        <v>36</v>
      </c>
      <c r="R192" s="10">
        <f>P192-Q192</f>
        <v>82.772999999999996</v>
      </c>
    </row>
    <row r="193" spans="1:18">
      <c r="A193">
        <v>192</v>
      </c>
      <c r="B193" s="8">
        <v>45698</v>
      </c>
      <c r="C193" t="s">
        <v>8</v>
      </c>
      <c r="D193" t="s">
        <v>46</v>
      </c>
      <c r="E193" t="s">
        <v>51</v>
      </c>
      <c r="F193" t="s">
        <v>54</v>
      </c>
      <c r="G193" t="s">
        <v>43</v>
      </c>
      <c r="H193" t="s">
        <v>43</v>
      </c>
      <c r="I193" t="s">
        <v>43</v>
      </c>
      <c r="J193" t="s">
        <v>45</v>
      </c>
      <c r="K193" s="9">
        <v>22</v>
      </c>
      <c r="L193" s="10">
        <f>IFERROR(VLOOKUP(C193,Parâmetros!$A$5:$D$7,IF(D193="Mensal",2,IF(D193="Trimestral",3,4)),0),0)</f>
        <v>21.99</v>
      </c>
      <c r="M193" s="10">
        <f>IF(G193="Sim",VLOOKUP("EA Play",Parâmetros!$A$11:$B$13,2,0),0)*K193</f>
        <v>109.78</v>
      </c>
      <c r="N193" s="10">
        <f>IF(H193="Sim",VLOOKUP("Minecraft Pass",Parâmetros!$A$11:$B$13,2,0),0)*K193</f>
        <v>87.78</v>
      </c>
      <c r="O193" s="10">
        <f>IF(I193="Sim",VLOOKUP("Call of Duty Pass",Parâmetros!$A$11:$B$13,2,0),0)*K193</f>
        <v>153.78</v>
      </c>
      <c r="P193" s="10">
        <f>(L193*K193+M193+N193+O193)*IF(F193="Promoção",1-Parâmetros!$B$22,1)</f>
        <v>751.60799999999995</v>
      </c>
      <c r="Q193" s="10">
        <f>Parâmetros!$B$20*K193</f>
        <v>264</v>
      </c>
      <c r="R193" s="10">
        <f>P193-Q193</f>
        <v>487.60799999999995</v>
      </c>
    </row>
    <row r="194" spans="1:18">
      <c r="A194">
        <v>193</v>
      </c>
      <c r="B194" s="8">
        <v>45583</v>
      </c>
      <c r="C194" t="s">
        <v>7</v>
      </c>
      <c r="D194" t="s">
        <v>40</v>
      </c>
      <c r="E194" t="s">
        <v>47</v>
      </c>
      <c r="F194" t="s">
        <v>54</v>
      </c>
      <c r="G194" t="s">
        <v>43</v>
      </c>
      <c r="H194" t="s">
        <v>44</v>
      </c>
      <c r="I194" t="s">
        <v>43</v>
      </c>
      <c r="J194" t="s">
        <v>45</v>
      </c>
      <c r="K194" s="9">
        <v>22</v>
      </c>
      <c r="L194" s="10">
        <f>IFERROR(VLOOKUP(C194,Parâmetros!$A$5:$D$7,IF(D194="Mensal",2,IF(D194="Trimestral",3,4)),0),0)</f>
        <v>40</v>
      </c>
      <c r="M194" s="10">
        <f>IF(G194="Sim",VLOOKUP("EA Play",Parâmetros!$A$11:$B$13,2,0),0)*K194</f>
        <v>109.78</v>
      </c>
      <c r="N194" s="10">
        <f>IF(H194="Sim",VLOOKUP("Minecraft Pass",Parâmetros!$A$11:$B$13,2,0),0)*K194</f>
        <v>0</v>
      </c>
      <c r="O194" s="10">
        <f>IF(I194="Sim",VLOOKUP("Call of Duty Pass",Parâmetros!$A$11:$B$13,2,0),0)*K194</f>
        <v>153.78</v>
      </c>
      <c r="P194" s="10">
        <f>(L194*K194+M194+N194+O194)*IF(F194="Promoção",1-Parâmetros!$B$22,1)</f>
        <v>1029.204</v>
      </c>
      <c r="Q194" s="10">
        <f>Parâmetros!$B$20*K194</f>
        <v>264</v>
      </c>
      <c r="R194" s="10">
        <f>P194-Q194</f>
        <v>765.20399999999995</v>
      </c>
    </row>
    <row r="195" spans="1:18">
      <c r="A195">
        <v>194</v>
      </c>
      <c r="B195" s="8">
        <v>45458</v>
      </c>
      <c r="C195" t="s">
        <v>7</v>
      </c>
      <c r="D195" t="s">
        <v>40</v>
      </c>
      <c r="E195" t="s">
        <v>51</v>
      </c>
      <c r="F195" t="s">
        <v>42</v>
      </c>
      <c r="G195" t="s">
        <v>43</v>
      </c>
      <c r="H195" t="s">
        <v>43</v>
      </c>
      <c r="I195" t="s">
        <v>44</v>
      </c>
      <c r="J195" t="s">
        <v>49</v>
      </c>
      <c r="K195" s="9">
        <v>26</v>
      </c>
      <c r="L195" s="10">
        <f>IFERROR(VLOOKUP(C195,Parâmetros!$A$5:$D$7,IF(D195="Mensal",2,IF(D195="Trimestral",3,4)),0),0)</f>
        <v>40</v>
      </c>
      <c r="M195" s="10">
        <f>IF(G195="Sim",VLOOKUP("EA Play",Parâmetros!$A$11:$B$13,2,0),0)*K195</f>
        <v>129.74</v>
      </c>
      <c r="N195" s="10">
        <f>IF(H195="Sim",VLOOKUP("Minecraft Pass",Parâmetros!$A$11:$B$13,2,0),0)*K195</f>
        <v>103.74000000000001</v>
      </c>
      <c r="O195" s="10">
        <f>IF(I195="Sim",VLOOKUP("Call of Duty Pass",Parâmetros!$A$11:$B$13,2,0),0)*K195</f>
        <v>0</v>
      </c>
      <c r="P195" s="10">
        <f>(L195*K195+M195+N195+O195)*IF(F195="Promoção",1-Parâmetros!$B$22,1)</f>
        <v>1273.48</v>
      </c>
      <c r="Q195" s="10">
        <f>Parâmetros!$B$20*K195</f>
        <v>312</v>
      </c>
      <c r="R195" s="10">
        <f>P195-Q195</f>
        <v>961.48</v>
      </c>
    </row>
    <row r="196" spans="1:18">
      <c r="A196">
        <v>195</v>
      </c>
      <c r="B196" s="8">
        <v>45729</v>
      </c>
      <c r="C196" t="s">
        <v>7</v>
      </c>
      <c r="D196" t="s">
        <v>46</v>
      </c>
      <c r="E196" t="s">
        <v>51</v>
      </c>
      <c r="F196" t="s">
        <v>42</v>
      </c>
      <c r="G196" t="s">
        <v>43</v>
      </c>
      <c r="H196" t="s">
        <v>43</v>
      </c>
      <c r="I196" t="s">
        <v>43</v>
      </c>
      <c r="J196" t="s">
        <v>49</v>
      </c>
      <c r="K196" s="9">
        <v>16</v>
      </c>
      <c r="L196" s="10">
        <f>IFERROR(VLOOKUP(C196,Parâmetros!$A$5:$D$7,IF(D196="Mensal",2,IF(D196="Trimestral",3,4)),0),0)</f>
        <v>14.99</v>
      </c>
      <c r="M196" s="10">
        <f>IF(G196="Sim",VLOOKUP("EA Play",Parâmetros!$A$11:$B$13,2,0),0)*K196</f>
        <v>79.84</v>
      </c>
      <c r="N196" s="10">
        <f>IF(H196="Sim",VLOOKUP("Minecraft Pass",Parâmetros!$A$11:$B$13,2,0),0)*K196</f>
        <v>63.84</v>
      </c>
      <c r="O196" s="10">
        <f>IF(I196="Sim",VLOOKUP("Call of Duty Pass",Parâmetros!$A$11:$B$13,2,0),0)*K196</f>
        <v>111.84</v>
      </c>
      <c r="P196" s="10">
        <f>(L196*K196+M196+N196+O196)*IF(F196="Promoção",1-Parâmetros!$B$22,1)</f>
        <v>495.36</v>
      </c>
      <c r="Q196" s="10">
        <f>Parâmetros!$B$20*K196</f>
        <v>192</v>
      </c>
      <c r="R196" s="10">
        <f>P196-Q196</f>
        <v>303.36</v>
      </c>
    </row>
    <row r="197" spans="1:18">
      <c r="A197">
        <v>196</v>
      </c>
      <c r="B197" s="8">
        <v>45749</v>
      </c>
      <c r="C197" t="s">
        <v>8</v>
      </c>
      <c r="D197" t="s">
        <v>50</v>
      </c>
      <c r="E197" t="s">
        <v>41</v>
      </c>
      <c r="F197" t="s">
        <v>52</v>
      </c>
      <c r="G197" t="s">
        <v>43</v>
      </c>
      <c r="H197" t="s">
        <v>44</v>
      </c>
      <c r="I197" t="s">
        <v>44</v>
      </c>
      <c r="J197" t="s">
        <v>49</v>
      </c>
      <c r="K197" s="9">
        <v>8</v>
      </c>
      <c r="L197" s="10">
        <f>IFERROR(VLOOKUP(C197,Parâmetros!$A$5:$D$7,IF(D197="Mensal",2,IF(D197="Trimestral",3,4)),0),0)</f>
        <v>219</v>
      </c>
      <c r="M197" s="10">
        <f>IF(G197="Sim",VLOOKUP("EA Play",Parâmetros!$A$11:$B$13,2,0),0)*K197</f>
        <v>39.92</v>
      </c>
      <c r="N197" s="10">
        <f>IF(H197="Sim",VLOOKUP("Minecraft Pass",Parâmetros!$A$11:$B$13,2,0),0)*K197</f>
        <v>0</v>
      </c>
      <c r="O197" s="10">
        <f>IF(I197="Sim",VLOOKUP("Call of Duty Pass",Parâmetros!$A$11:$B$13,2,0),0)*K197</f>
        <v>0</v>
      </c>
      <c r="P197" s="10">
        <f>(L197*K197+M197+N197+O197)*IF(F197="Promoção",1-Parâmetros!$B$22,1)</f>
        <v>1791.92</v>
      </c>
      <c r="Q197" s="10">
        <f>Parâmetros!$B$20*K197</f>
        <v>96</v>
      </c>
      <c r="R197" s="10">
        <f>P197-Q197</f>
        <v>1695.92</v>
      </c>
    </row>
    <row r="198" spans="1:18">
      <c r="A198">
        <v>197</v>
      </c>
      <c r="B198" s="8">
        <v>45768</v>
      </c>
      <c r="C198" t="s">
        <v>6</v>
      </c>
      <c r="D198" t="s">
        <v>46</v>
      </c>
      <c r="E198" t="s">
        <v>47</v>
      </c>
      <c r="F198" t="s">
        <v>54</v>
      </c>
      <c r="G198" t="s">
        <v>44</v>
      </c>
      <c r="H198" t="s">
        <v>43</v>
      </c>
      <c r="I198" t="s">
        <v>43</v>
      </c>
      <c r="J198" t="s">
        <v>45</v>
      </c>
      <c r="K198" s="9">
        <v>19</v>
      </c>
      <c r="L198" s="10">
        <f>IFERROR(VLOOKUP(C198,Parâmetros!$A$5:$D$7,IF(D198="Mensal",2,IF(D198="Trimestral",3,4)),0),0)</f>
        <v>9.99</v>
      </c>
      <c r="M198" s="10">
        <f>IF(G198="Sim",VLOOKUP("EA Play",Parâmetros!$A$11:$B$13,2,0),0)*K198</f>
        <v>0</v>
      </c>
      <c r="N198" s="10">
        <f>IF(H198="Sim",VLOOKUP("Minecraft Pass",Parâmetros!$A$11:$B$13,2,0),0)*K198</f>
        <v>75.81</v>
      </c>
      <c r="O198" s="10">
        <f>IF(I198="Sim",VLOOKUP("Call of Duty Pass",Parâmetros!$A$11:$B$13,2,0),0)*K198</f>
        <v>132.81</v>
      </c>
      <c r="P198" s="10">
        <f>(L198*K198+M198+N198+O198)*IF(F198="Promoção",1-Parâmetros!$B$22,1)</f>
        <v>358.58699999999999</v>
      </c>
      <c r="Q198" s="10">
        <f>Parâmetros!$B$20*K198</f>
        <v>228</v>
      </c>
      <c r="R198" s="10">
        <f>P198-Q198</f>
        <v>130.58699999999999</v>
      </c>
    </row>
    <row r="199" spans="1:18">
      <c r="A199">
        <v>198</v>
      </c>
      <c r="B199" s="8">
        <v>45668</v>
      </c>
      <c r="C199" t="s">
        <v>7</v>
      </c>
      <c r="D199" t="s">
        <v>46</v>
      </c>
      <c r="E199" t="s">
        <v>41</v>
      </c>
      <c r="F199" t="s">
        <v>42</v>
      </c>
      <c r="G199" t="s">
        <v>44</v>
      </c>
      <c r="H199" t="s">
        <v>44</v>
      </c>
      <c r="I199" t="s">
        <v>44</v>
      </c>
      <c r="J199" t="s">
        <v>49</v>
      </c>
      <c r="K199" s="9">
        <v>31</v>
      </c>
      <c r="L199" s="10">
        <f>IFERROR(VLOOKUP(C199,Parâmetros!$A$5:$D$7,IF(D199="Mensal",2,IF(D199="Trimestral",3,4)),0),0)</f>
        <v>14.99</v>
      </c>
      <c r="M199" s="10">
        <f>IF(G199="Sim",VLOOKUP("EA Play",Parâmetros!$A$11:$B$13,2,0),0)*K199</f>
        <v>0</v>
      </c>
      <c r="N199" s="10">
        <f>IF(H199="Sim",VLOOKUP("Minecraft Pass",Parâmetros!$A$11:$B$13,2,0),0)*K199</f>
        <v>0</v>
      </c>
      <c r="O199" s="10">
        <f>IF(I199="Sim",VLOOKUP("Call of Duty Pass",Parâmetros!$A$11:$B$13,2,0),0)*K199</f>
        <v>0</v>
      </c>
      <c r="P199" s="10">
        <f>(L199*K199+M199+N199+O199)*IF(F199="Promoção",1-Parâmetros!$B$22,1)</f>
        <v>464.69</v>
      </c>
      <c r="Q199" s="10">
        <f>Parâmetros!$B$20*K199</f>
        <v>372</v>
      </c>
      <c r="R199" s="10">
        <f>P199-Q199</f>
        <v>92.69</v>
      </c>
    </row>
    <row r="200" spans="1:18">
      <c r="A200">
        <v>199</v>
      </c>
      <c r="B200" s="8">
        <v>45842</v>
      </c>
      <c r="C200" t="s">
        <v>8</v>
      </c>
      <c r="D200" t="s">
        <v>50</v>
      </c>
      <c r="E200" t="s">
        <v>51</v>
      </c>
      <c r="F200" t="s">
        <v>52</v>
      </c>
      <c r="G200" t="s">
        <v>44</v>
      </c>
      <c r="H200" t="s">
        <v>44</v>
      </c>
      <c r="I200" t="s">
        <v>44</v>
      </c>
      <c r="J200" t="s">
        <v>49</v>
      </c>
      <c r="K200" s="9">
        <v>24</v>
      </c>
      <c r="L200" s="10">
        <f>IFERROR(VLOOKUP(C200,Parâmetros!$A$5:$D$7,IF(D200="Mensal",2,IF(D200="Trimestral",3,4)),0),0)</f>
        <v>219</v>
      </c>
      <c r="M200" s="10">
        <f>IF(G200="Sim",VLOOKUP("EA Play",Parâmetros!$A$11:$B$13,2,0),0)*K200</f>
        <v>0</v>
      </c>
      <c r="N200" s="10">
        <f>IF(H200="Sim",VLOOKUP("Minecraft Pass",Parâmetros!$A$11:$B$13,2,0),0)*K200</f>
        <v>0</v>
      </c>
      <c r="O200" s="10">
        <f>IF(I200="Sim",VLOOKUP("Call of Duty Pass",Parâmetros!$A$11:$B$13,2,0),0)*K200</f>
        <v>0</v>
      </c>
      <c r="P200" s="10">
        <f>(L200*K200+M200+N200+O200)*IF(F200="Promoção",1-Parâmetros!$B$22,1)</f>
        <v>5256</v>
      </c>
      <c r="Q200" s="10">
        <f>Parâmetros!$B$20*K200</f>
        <v>288</v>
      </c>
      <c r="R200" s="10">
        <f>P200-Q200</f>
        <v>4968</v>
      </c>
    </row>
    <row r="201" spans="1:18">
      <c r="A201">
        <v>200</v>
      </c>
      <c r="B201" s="8">
        <v>45371</v>
      </c>
      <c r="C201" t="s">
        <v>8</v>
      </c>
      <c r="D201" t="s">
        <v>46</v>
      </c>
      <c r="E201" t="s">
        <v>51</v>
      </c>
      <c r="F201" t="s">
        <v>54</v>
      </c>
      <c r="G201" t="s">
        <v>43</v>
      </c>
      <c r="H201" t="s">
        <v>44</v>
      </c>
      <c r="I201" t="s">
        <v>43</v>
      </c>
      <c r="J201" t="s">
        <v>45</v>
      </c>
      <c r="K201" s="9">
        <v>29</v>
      </c>
      <c r="L201" s="10">
        <f>IFERROR(VLOOKUP(C201,Parâmetros!$A$5:$D$7,IF(D201="Mensal",2,IF(D201="Trimestral",3,4)),0),0)</f>
        <v>21.99</v>
      </c>
      <c r="M201" s="10">
        <f>IF(G201="Sim",VLOOKUP("EA Play",Parâmetros!$A$11:$B$13,2,0),0)*K201</f>
        <v>144.71</v>
      </c>
      <c r="N201" s="10">
        <f>IF(H201="Sim",VLOOKUP("Minecraft Pass",Parâmetros!$A$11:$B$13,2,0),0)*K201</f>
        <v>0</v>
      </c>
      <c r="O201" s="10">
        <f>IF(I201="Sim",VLOOKUP("Call of Duty Pass",Parâmetros!$A$11:$B$13,2,0),0)*K201</f>
        <v>202.71</v>
      </c>
      <c r="P201" s="10">
        <f>(L201*K201+M201+N201+O201)*IF(F201="Promoção",1-Parâmetros!$B$22,1)</f>
        <v>886.61699999999996</v>
      </c>
      <c r="Q201" s="10">
        <f>Parâmetros!$B$20*K201</f>
        <v>348</v>
      </c>
      <c r="R201" s="10">
        <f>P201-Q201</f>
        <v>538.61699999999996</v>
      </c>
    </row>
    <row r="202" spans="1:18">
      <c r="A202">
        <v>201</v>
      </c>
      <c r="B202" s="8">
        <v>45411</v>
      </c>
      <c r="C202" t="s">
        <v>7</v>
      </c>
      <c r="D202" t="s">
        <v>40</v>
      </c>
      <c r="E202" t="s">
        <v>47</v>
      </c>
      <c r="F202" t="s">
        <v>54</v>
      </c>
      <c r="G202" t="s">
        <v>43</v>
      </c>
      <c r="H202" t="s">
        <v>43</v>
      </c>
      <c r="I202" t="s">
        <v>43</v>
      </c>
      <c r="J202" t="s">
        <v>49</v>
      </c>
      <c r="K202" s="9">
        <v>4</v>
      </c>
      <c r="L202" s="10">
        <f>IFERROR(VLOOKUP(C202,Parâmetros!$A$5:$D$7,IF(D202="Mensal",2,IF(D202="Trimestral",3,4)),0),0)</f>
        <v>40</v>
      </c>
      <c r="M202" s="10">
        <f>IF(G202="Sim",VLOOKUP("EA Play",Parâmetros!$A$11:$B$13,2,0),0)*K202</f>
        <v>19.96</v>
      </c>
      <c r="N202" s="10">
        <f>IF(H202="Sim",VLOOKUP("Minecraft Pass",Parâmetros!$A$11:$B$13,2,0),0)*K202</f>
        <v>15.96</v>
      </c>
      <c r="O202" s="10">
        <f>IF(I202="Sim",VLOOKUP("Call of Duty Pass",Parâmetros!$A$11:$B$13,2,0),0)*K202</f>
        <v>27.96</v>
      </c>
      <c r="P202" s="10">
        <f>(L202*K202+M202+N202+O202)*IF(F202="Promoção",1-Parâmetros!$B$22,1)</f>
        <v>201.49200000000002</v>
      </c>
      <c r="Q202" s="10">
        <f>Parâmetros!$B$20*K202</f>
        <v>48</v>
      </c>
      <c r="R202" s="10">
        <f>P202-Q202</f>
        <v>153.49200000000002</v>
      </c>
    </row>
    <row r="203" spans="1:18">
      <c r="A203">
        <v>202</v>
      </c>
      <c r="B203" s="8">
        <v>45864</v>
      </c>
      <c r="C203" t="s">
        <v>7</v>
      </c>
      <c r="D203" t="s">
        <v>50</v>
      </c>
      <c r="E203" t="s">
        <v>51</v>
      </c>
      <c r="F203" t="s">
        <v>42</v>
      </c>
      <c r="G203" t="s">
        <v>44</v>
      </c>
      <c r="H203" t="s">
        <v>44</v>
      </c>
      <c r="I203" t="s">
        <v>44</v>
      </c>
      <c r="J203" t="s">
        <v>49</v>
      </c>
      <c r="K203" s="9">
        <v>23</v>
      </c>
      <c r="L203" s="10">
        <f>IFERROR(VLOOKUP(C203,Parâmetros!$A$5:$D$7,IF(D203="Mensal",2,IF(D203="Trimestral",3,4)),0),0)</f>
        <v>149</v>
      </c>
      <c r="M203" s="10">
        <f>IF(G203="Sim",VLOOKUP("EA Play",Parâmetros!$A$11:$B$13,2,0),0)*K203</f>
        <v>0</v>
      </c>
      <c r="N203" s="10">
        <f>IF(H203="Sim",VLOOKUP("Minecraft Pass",Parâmetros!$A$11:$B$13,2,0),0)*K203</f>
        <v>0</v>
      </c>
      <c r="O203" s="10">
        <f>IF(I203="Sim",VLOOKUP("Call of Duty Pass",Parâmetros!$A$11:$B$13,2,0),0)*K203</f>
        <v>0</v>
      </c>
      <c r="P203" s="10">
        <f>(L203*K203+M203+N203+O203)*IF(F203="Promoção",1-Parâmetros!$B$22,1)</f>
        <v>3427</v>
      </c>
      <c r="Q203" s="10">
        <f>Parâmetros!$B$20*K203</f>
        <v>276</v>
      </c>
      <c r="R203" s="10">
        <f>P203-Q203</f>
        <v>3151</v>
      </c>
    </row>
    <row r="204" spans="1:18">
      <c r="A204">
        <v>203</v>
      </c>
      <c r="B204" s="8">
        <v>46009</v>
      </c>
      <c r="C204" t="s">
        <v>6</v>
      </c>
      <c r="D204" t="s">
        <v>50</v>
      </c>
      <c r="E204" t="s">
        <v>55</v>
      </c>
      <c r="F204" t="s">
        <v>42</v>
      </c>
      <c r="G204" t="s">
        <v>44</v>
      </c>
      <c r="H204" t="s">
        <v>43</v>
      </c>
      <c r="I204" t="s">
        <v>44</v>
      </c>
      <c r="J204" t="s">
        <v>45</v>
      </c>
      <c r="K204" s="9">
        <v>27</v>
      </c>
      <c r="L204" s="10">
        <f>IFERROR(VLOOKUP(C204,Parâmetros!$A$5:$D$7,IF(D204="Mensal",2,IF(D204="Trimestral",3,4)),0),0)</f>
        <v>99</v>
      </c>
      <c r="M204" s="10">
        <f>IF(G204="Sim",VLOOKUP("EA Play",Parâmetros!$A$11:$B$13,2,0),0)*K204</f>
        <v>0</v>
      </c>
      <c r="N204" s="10">
        <f>IF(H204="Sim",VLOOKUP("Minecraft Pass",Parâmetros!$A$11:$B$13,2,0),0)*K204</f>
        <v>107.73</v>
      </c>
      <c r="O204" s="10">
        <f>IF(I204="Sim",VLOOKUP("Call of Duty Pass",Parâmetros!$A$11:$B$13,2,0),0)*K204</f>
        <v>0</v>
      </c>
      <c r="P204" s="10">
        <f>(L204*K204+M204+N204+O204)*IF(F204="Promoção",1-Parâmetros!$B$22,1)</f>
        <v>2780.73</v>
      </c>
      <c r="Q204" s="10">
        <f>Parâmetros!$B$20*K204</f>
        <v>324</v>
      </c>
      <c r="R204" s="10">
        <f>P204-Q204</f>
        <v>2456.73</v>
      </c>
    </row>
    <row r="205" spans="1:18">
      <c r="A205">
        <v>204</v>
      </c>
      <c r="B205" s="8">
        <v>45675</v>
      </c>
      <c r="C205" t="s">
        <v>8</v>
      </c>
      <c r="D205" t="s">
        <v>46</v>
      </c>
      <c r="E205" t="s">
        <v>55</v>
      </c>
      <c r="F205" t="s">
        <v>54</v>
      </c>
      <c r="G205" t="s">
        <v>43</v>
      </c>
      <c r="H205" t="s">
        <v>44</v>
      </c>
      <c r="I205" t="s">
        <v>44</v>
      </c>
      <c r="J205" t="s">
        <v>49</v>
      </c>
      <c r="K205" s="9">
        <v>23</v>
      </c>
      <c r="L205" s="10">
        <f>IFERROR(VLOOKUP(C205,Parâmetros!$A$5:$D$7,IF(D205="Mensal",2,IF(D205="Trimestral",3,4)),0),0)</f>
        <v>21.99</v>
      </c>
      <c r="M205" s="10">
        <f>IF(G205="Sim",VLOOKUP("EA Play",Parâmetros!$A$11:$B$13,2,0),0)*K205</f>
        <v>114.77000000000001</v>
      </c>
      <c r="N205" s="10">
        <f>IF(H205="Sim",VLOOKUP("Minecraft Pass",Parâmetros!$A$11:$B$13,2,0),0)*K205</f>
        <v>0</v>
      </c>
      <c r="O205" s="10">
        <f>IF(I205="Sim",VLOOKUP("Call of Duty Pass",Parâmetros!$A$11:$B$13,2,0),0)*K205</f>
        <v>0</v>
      </c>
      <c r="P205" s="10">
        <f>(L205*K205+M205+N205+O205)*IF(F205="Promoção",1-Parâmetros!$B$22,1)</f>
        <v>558.48599999999999</v>
      </c>
      <c r="Q205" s="10">
        <f>Parâmetros!$B$20*K205</f>
        <v>276</v>
      </c>
      <c r="R205" s="10">
        <f>P205-Q205</f>
        <v>282.48599999999999</v>
      </c>
    </row>
    <row r="206" spans="1:18">
      <c r="A206">
        <v>205</v>
      </c>
      <c r="B206" s="8">
        <v>45413</v>
      </c>
      <c r="C206" t="s">
        <v>6</v>
      </c>
      <c r="D206" t="s">
        <v>40</v>
      </c>
      <c r="E206" t="s">
        <v>47</v>
      </c>
      <c r="F206" t="s">
        <v>52</v>
      </c>
      <c r="G206" t="s">
        <v>43</v>
      </c>
      <c r="H206" t="s">
        <v>43</v>
      </c>
      <c r="I206" t="s">
        <v>43</v>
      </c>
      <c r="J206" t="s">
        <v>49</v>
      </c>
      <c r="K206" s="9">
        <v>35</v>
      </c>
      <c r="L206" s="10">
        <f>IFERROR(VLOOKUP(C206,Parâmetros!$A$5:$D$7,IF(D206="Mensal",2,IF(D206="Trimestral",3,4)),0),0)</f>
        <v>27</v>
      </c>
      <c r="M206" s="10">
        <f>IF(G206="Sim",VLOOKUP("EA Play",Parâmetros!$A$11:$B$13,2,0),0)*K206</f>
        <v>174.65</v>
      </c>
      <c r="N206" s="10">
        <f>IF(H206="Sim",VLOOKUP("Minecraft Pass",Parâmetros!$A$11:$B$13,2,0),0)*K206</f>
        <v>139.65</v>
      </c>
      <c r="O206" s="10">
        <f>IF(I206="Sim",VLOOKUP("Call of Duty Pass",Parâmetros!$A$11:$B$13,2,0),0)*K206</f>
        <v>244.65</v>
      </c>
      <c r="P206" s="10">
        <f>(L206*K206+M206+N206+O206)*IF(F206="Promoção",1-Parâmetros!$B$22,1)</f>
        <v>1503.9500000000003</v>
      </c>
      <c r="Q206" s="10">
        <f>Parâmetros!$B$20*K206</f>
        <v>420</v>
      </c>
      <c r="R206" s="10">
        <f>P206-Q206</f>
        <v>1083.9500000000003</v>
      </c>
    </row>
    <row r="207" spans="1:18">
      <c r="A207">
        <v>206</v>
      </c>
      <c r="B207" s="8">
        <v>45726</v>
      </c>
      <c r="C207" t="s">
        <v>7</v>
      </c>
      <c r="D207" t="s">
        <v>50</v>
      </c>
      <c r="E207" t="s">
        <v>41</v>
      </c>
      <c r="F207" t="s">
        <v>42</v>
      </c>
      <c r="G207" t="s">
        <v>43</v>
      </c>
      <c r="H207" t="s">
        <v>44</v>
      </c>
      <c r="I207" t="s">
        <v>44</v>
      </c>
      <c r="J207" t="s">
        <v>49</v>
      </c>
      <c r="K207" s="9">
        <v>27</v>
      </c>
      <c r="L207" s="10">
        <f>IFERROR(VLOOKUP(C207,Parâmetros!$A$5:$D$7,IF(D207="Mensal",2,IF(D207="Trimestral",3,4)),0),0)</f>
        <v>149</v>
      </c>
      <c r="M207" s="10">
        <f>IF(G207="Sim",VLOOKUP("EA Play",Parâmetros!$A$11:$B$13,2,0),0)*K207</f>
        <v>134.73000000000002</v>
      </c>
      <c r="N207" s="10">
        <f>IF(H207="Sim",VLOOKUP("Minecraft Pass",Parâmetros!$A$11:$B$13,2,0),0)*K207</f>
        <v>0</v>
      </c>
      <c r="O207" s="10">
        <f>IF(I207="Sim",VLOOKUP("Call of Duty Pass",Parâmetros!$A$11:$B$13,2,0),0)*K207</f>
        <v>0</v>
      </c>
      <c r="P207" s="10">
        <f>(L207*K207+M207+N207+O207)*IF(F207="Promoção",1-Parâmetros!$B$22,1)</f>
        <v>4157.7299999999996</v>
      </c>
      <c r="Q207" s="10">
        <f>Parâmetros!$B$20*K207</f>
        <v>324</v>
      </c>
      <c r="R207" s="10">
        <f>P207-Q207</f>
        <v>3833.7299999999996</v>
      </c>
    </row>
    <row r="208" spans="1:18">
      <c r="A208">
        <v>207</v>
      </c>
      <c r="B208" s="8">
        <v>45921</v>
      </c>
      <c r="C208" t="s">
        <v>8</v>
      </c>
      <c r="D208" t="s">
        <v>50</v>
      </c>
      <c r="E208" t="s">
        <v>41</v>
      </c>
      <c r="F208" t="s">
        <v>42</v>
      </c>
      <c r="G208" t="s">
        <v>43</v>
      </c>
      <c r="H208" t="s">
        <v>43</v>
      </c>
      <c r="I208" t="s">
        <v>44</v>
      </c>
      <c r="J208" t="s">
        <v>45</v>
      </c>
      <c r="K208" s="9">
        <v>4</v>
      </c>
      <c r="L208" s="10">
        <f>IFERROR(VLOOKUP(C208,Parâmetros!$A$5:$D$7,IF(D208="Mensal",2,IF(D208="Trimestral",3,4)),0),0)</f>
        <v>219</v>
      </c>
      <c r="M208" s="10">
        <f>IF(G208="Sim",VLOOKUP("EA Play",Parâmetros!$A$11:$B$13,2,0),0)*K208</f>
        <v>19.96</v>
      </c>
      <c r="N208" s="10">
        <f>IF(H208="Sim",VLOOKUP("Minecraft Pass",Parâmetros!$A$11:$B$13,2,0),0)*K208</f>
        <v>15.96</v>
      </c>
      <c r="O208" s="10">
        <f>IF(I208="Sim",VLOOKUP("Call of Duty Pass",Parâmetros!$A$11:$B$13,2,0),0)*K208</f>
        <v>0</v>
      </c>
      <c r="P208" s="10">
        <f>(L208*K208+M208+N208+O208)*IF(F208="Promoção",1-Parâmetros!$B$22,1)</f>
        <v>911.92000000000007</v>
      </c>
      <c r="Q208" s="10">
        <f>Parâmetros!$B$20*K208</f>
        <v>48</v>
      </c>
      <c r="R208" s="10">
        <f>P208-Q208</f>
        <v>863.92000000000007</v>
      </c>
    </row>
    <row r="209" spans="1:18">
      <c r="A209">
        <v>208</v>
      </c>
      <c r="B209" s="8">
        <v>45542</v>
      </c>
      <c r="C209" t="s">
        <v>7</v>
      </c>
      <c r="D209" t="s">
        <v>46</v>
      </c>
      <c r="E209" t="s">
        <v>41</v>
      </c>
      <c r="F209" t="s">
        <v>42</v>
      </c>
      <c r="G209" t="s">
        <v>44</v>
      </c>
      <c r="H209" t="s">
        <v>43</v>
      </c>
      <c r="I209" t="s">
        <v>44</v>
      </c>
      <c r="J209" t="s">
        <v>49</v>
      </c>
      <c r="K209" s="9">
        <v>21</v>
      </c>
      <c r="L209" s="10">
        <f>IFERROR(VLOOKUP(C209,Parâmetros!$A$5:$D$7,IF(D209="Mensal",2,IF(D209="Trimestral",3,4)),0),0)</f>
        <v>14.99</v>
      </c>
      <c r="M209" s="10">
        <f>IF(G209="Sim",VLOOKUP("EA Play",Parâmetros!$A$11:$B$13,2,0),0)*K209</f>
        <v>0</v>
      </c>
      <c r="N209" s="10">
        <f>IF(H209="Sim",VLOOKUP("Minecraft Pass",Parâmetros!$A$11:$B$13,2,0),0)*K209</f>
        <v>83.79</v>
      </c>
      <c r="O209" s="10">
        <f>IF(I209="Sim",VLOOKUP("Call of Duty Pass",Parâmetros!$A$11:$B$13,2,0),0)*K209</f>
        <v>0</v>
      </c>
      <c r="P209" s="10">
        <f>(L209*K209+M209+N209+O209)*IF(F209="Promoção",1-Parâmetros!$B$22,1)</f>
        <v>398.58000000000004</v>
      </c>
      <c r="Q209" s="10">
        <f>Parâmetros!$B$20*K209</f>
        <v>252</v>
      </c>
      <c r="R209" s="10">
        <f>P209-Q209</f>
        <v>146.58000000000004</v>
      </c>
    </row>
    <row r="210" spans="1:18">
      <c r="A210">
        <v>209</v>
      </c>
      <c r="B210" s="8">
        <v>45883</v>
      </c>
      <c r="C210" t="s">
        <v>7</v>
      </c>
      <c r="D210" t="s">
        <v>40</v>
      </c>
      <c r="E210" t="s">
        <v>41</v>
      </c>
      <c r="F210" t="s">
        <v>42</v>
      </c>
      <c r="G210" t="s">
        <v>43</v>
      </c>
      <c r="H210" t="s">
        <v>44</v>
      </c>
      <c r="I210" t="s">
        <v>43</v>
      </c>
      <c r="J210" t="s">
        <v>49</v>
      </c>
      <c r="K210" s="9">
        <v>4</v>
      </c>
      <c r="L210" s="10">
        <f>IFERROR(VLOOKUP(C210,Parâmetros!$A$5:$D$7,IF(D210="Mensal",2,IF(D210="Trimestral",3,4)),0),0)</f>
        <v>40</v>
      </c>
      <c r="M210" s="10">
        <f>IF(G210="Sim",VLOOKUP("EA Play",Parâmetros!$A$11:$B$13,2,0),0)*K210</f>
        <v>19.96</v>
      </c>
      <c r="N210" s="10">
        <f>IF(H210="Sim",VLOOKUP("Minecraft Pass",Parâmetros!$A$11:$B$13,2,0),0)*K210</f>
        <v>0</v>
      </c>
      <c r="O210" s="10">
        <f>IF(I210="Sim",VLOOKUP("Call of Duty Pass",Parâmetros!$A$11:$B$13,2,0),0)*K210</f>
        <v>27.96</v>
      </c>
      <c r="P210" s="10">
        <f>(L210*K210+M210+N210+O210)*IF(F210="Promoção",1-Parâmetros!$B$22,1)</f>
        <v>207.92000000000002</v>
      </c>
      <c r="Q210" s="10">
        <f>Parâmetros!$B$20*K210</f>
        <v>48</v>
      </c>
      <c r="R210" s="10">
        <f>P210-Q210</f>
        <v>159.92000000000002</v>
      </c>
    </row>
    <row r="211" spans="1:18">
      <c r="A211">
        <v>210</v>
      </c>
      <c r="B211" s="8">
        <v>45862</v>
      </c>
      <c r="C211" t="s">
        <v>8</v>
      </c>
      <c r="D211" t="s">
        <v>50</v>
      </c>
      <c r="E211" t="s">
        <v>55</v>
      </c>
      <c r="F211" t="s">
        <v>52</v>
      </c>
      <c r="G211" t="s">
        <v>43</v>
      </c>
      <c r="H211" t="s">
        <v>44</v>
      </c>
      <c r="I211" t="s">
        <v>44</v>
      </c>
      <c r="J211" t="s">
        <v>45</v>
      </c>
      <c r="K211" s="9">
        <v>25</v>
      </c>
      <c r="L211" s="10">
        <f>IFERROR(VLOOKUP(C211,Parâmetros!$A$5:$D$7,IF(D211="Mensal",2,IF(D211="Trimestral",3,4)),0),0)</f>
        <v>219</v>
      </c>
      <c r="M211" s="10">
        <f>IF(G211="Sim",VLOOKUP("EA Play",Parâmetros!$A$11:$B$13,2,0),0)*K211</f>
        <v>124.75</v>
      </c>
      <c r="N211" s="10">
        <f>IF(H211="Sim",VLOOKUP("Minecraft Pass",Parâmetros!$A$11:$B$13,2,0),0)*K211</f>
        <v>0</v>
      </c>
      <c r="O211" s="10">
        <f>IF(I211="Sim",VLOOKUP("Call of Duty Pass",Parâmetros!$A$11:$B$13,2,0),0)*K211</f>
        <v>0</v>
      </c>
      <c r="P211" s="10">
        <f>(L211*K211+M211+N211+O211)*IF(F211="Promoção",1-Parâmetros!$B$22,1)</f>
        <v>5599.75</v>
      </c>
      <c r="Q211" s="10">
        <f>Parâmetros!$B$20*K211</f>
        <v>300</v>
      </c>
      <c r="R211" s="10">
        <f>P211-Q211</f>
        <v>5299.75</v>
      </c>
    </row>
    <row r="212" spans="1:18">
      <c r="A212">
        <v>211</v>
      </c>
      <c r="B212" s="8">
        <v>45829</v>
      </c>
      <c r="C212" t="s">
        <v>6</v>
      </c>
      <c r="D212" t="s">
        <v>46</v>
      </c>
      <c r="E212" t="s">
        <v>41</v>
      </c>
      <c r="F212" t="s">
        <v>42</v>
      </c>
      <c r="G212" t="s">
        <v>44</v>
      </c>
      <c r="H212" t="s">
        <v>44</v>
      </c>
      <c r="I212" t="s">
        <v>44</v>
      </c>
      <c r="J212" t="s">
        <v>49</v>
      </c>
      <c r="K212" s="9">
        <v>10</v>
      </c>
      <c r="L212" s="10">
        <f>IFERROR(VLOOKUP(C212,Parâmetros!$A$5:$D$7,IF(D212="Mensal",2,IF(D212="Trimestral",3,4)),0),0)</f>
        <v>9.99</v>
      </c>
      <c r="M212" s="10">
        <f>IF(G212="Sim",VLOOKUP("EA Play",Parâmetros!$A$11:$B$13,2,0),0)*K212</f>
        <v>0</v>
      </c>
      <c r="N212" s="10">
        <f>IF(H212="Sim",VLOOKUP("Minecraft Pass",Parâmetros!$A$11:$B$13,2,0),0)*K212</f>
        <v>0</v>
      </c>
      <c r="O212" s="10">
        <f>IF(I212="Sim",VLOOKUP("Call of Duty Pass",Parâmetros!$A$11:$B$13,2,0),0)*K212</f>
        <v>0</v>
      </c>
      <c r="P212" s="10">
        <f>(L212*K212+M212+N212+O212)*IF(F212="Promoção",1-Parâmetros!$B$22,1)</f>
        <v>99.9</v>
      </c>
      <c r="Q212" s="10">
        <f>Parâmetros!$B$20*K212</f>
        <v>120</v>
      </c>
      <c r="R212" s="10">
        <f>P212-Q212</f>
        <v>-20.099999999999994</v>
      </c>
    </row>
    <row r="213" spans="1:18">
      <c r="A213">
        <v>212</v>
      </c>
      <c r="B213" s="8">
        <v>45766</v>
      </c>
      <c r="C213" t="s">
        <v>8</v>
      </c>
      <c r="D213" t="s">
        <v>40</v>
      </c>
      <c r="E213" t="s">
        <v>53</v>
      </c>
      <c r="F213" t="s">
        <v>48</v>
      </c>
      <c r="G213" t="s">
        <v>43</v>
      </c>
      <c r="H213" t="s">
        <v>43</v>
      </c>
      <c r="I213" t="s">
        <v>43</v>
      </c>
      <c r="J213" t="s">
        <v>45</v>
      </c>
      <c r="K213" s="9">
        <v>29</v>
      </c>
      <c r="L213" s="10">
        <f>IFERROR(VLOOKUP(C213,Parâmetros!$A$5:$D$7,IF(D213="Mensal",2,IF(D213="Trimestral",3,4)),0),0)</f>
        <v>59</v>
      </c>
      <c r="M213" s="10">
        <f>IF(G213="Sim",VLOOKUP("EA Play",Parâmetros!$A$11:$B$13,2,0),0)*K213</f>
        <v>144.71</v>
      </c>
      <c r="N213" s="10">
        <f>IF(H213="Sim",VLOOKUP("Minecraft Pass",Parâmetros!$A$11:$B$13,2,0),0)*K213</f>
        <v>115.71000000000001</v>
      </c>
      <c r="O213" s="10">
        <f>IF(I213="Sim",VLOOKUP("Call of Duty Pass",Parâmetros!$A$11:$B$13,2,0),0)*K213</f>
        <v>202.71</v>
      </c>
      <c r="P213" s="10">
        <f>(L213*K213+M213+N213+O213)*IF(F213="Promoção",1-Parâmetros!$B$22,1)</f>
        <v>2174.13</v>
      </c>
      <c r="Q213" s="10">
        <f>Parâmetros!$B$20*K213</f>
        <v>348</v>
      </c>
      <c r="R213" s="10">
        <f>P213-Q213</f>
        <v>1826.13</v>
      </c>
    </row>
    <row r="214" spans="1:18">
      <c r="A214">
        <v>213</v>
      </c>
      <c r="B214" s="8">
        <v>45671</v>
      </c>
      <c r="C214" t="s">
        <v>6</v>
      </c>
      <c r="D214" t="s">
        <v>40</v>
      </c>
      <c r="E214" t="s">
        <v>41</v>
      </c>
      <c r="F214" t="s">
        <v>42</v>
      </c>
      <c r="G214" t="s">
        <v>44</v>
      </c>
      <c r="H214" t="s">
        <v>44</v>
      </c>
      <c r="I214" t="s">
        <v>44</v>
      </c>
      <c r="J214" t="s">
        <v>49</v>
      </c>
      <c r="K214" s="9">
        <v>14</v>
      </c>
      <c r="L214" s="10">
        <f>IFERROR(VLOOKUP(C214,Parâmetros!$A$5:$D$7,IF(D214="Mensal",2,IF(D214="Trimestral",3,4)),0),0)</f>
        <v>27</v>
      </c>
      <c r="M214" s="10">
        <f>IF(G214="Sim",VLOOKUP("EA Play",Parâmetros!$A$11:$B$13,2,0),0)*K214</f>
        <v>0</v>
      </c>
      <c r="N214" s="10">
        <f>IF(H214="Sim",VLOOKUP("Minecraft Pass",Parâmetros!$A$11:$B$13,2,0),0)*K214</f>
        <v>0</v>
      </c>
      <c r="O214" s="10">
        <f>IF(I214="Sim",VLOOKUP("Call of Duty Pass",Parâmetros!$A$11:$B$13,2,0),0)*K214</f>
        <v>0</v>
      </c>
      <c r="P214" s="10">
        <f>(L214*K214+M214+N214+O214)*IF(F214="Promoção",1-Parâmetros!$B$22,1)</f>
        <v>378</v>
      </c>
      <c r="Q214" s="10">
        <f>Parâmetros!$B$20*K214</f>
        <v>168</v>
      </c>
      <c r="R214" s="10">
        <f>P214-Q214</f>
        <v>210</v>
      </c>
    </row>
    <row r="215" spans="1:18">
      <c r="A215">
        <v>214</v>
      </c>
      <c r="B215" s="8">
        <v>45782</v>
      </c>
      <c r="C215" t="s">
        <v>6</v>
      </c>
      <c r="D215" t="s">
        <v>50</v>
      </c>
      <c r="E215" t="s">
        <v>41</v>
      </c>
      <c r="F215" t="s">
        <v>54</v>
      </c>
      <c r="G215" t="s">
        <v>43</v>
      </c>
      <c r="H215" t="s">
        <v>43</v>
      </c>
      <c r="I215" t="s">
        <v>44</v>
      </c>
      <c r="J215" t="s">
        <v>45</v>
      </c>
      <c r="K215" s="9">
        <v>31</v>
      </c>
      <c r="L215" s="10">
        <f>IFERROR(VLOOKUP(C215,Parâmetros!$A$5:$D$7,IF(D215="Mensal",2,IF(D215="Trimestral",3,4)),0),0)</f>
        <v>99</v>
      </c>
      <c r="M215" s="10">
        <f>IF(G215="Sim",VLOOKUP("EA Play",Parâmetros!$A$11:$B$13,2,0),0)*K215</f>
        <v>154.69</v>
      </c>
      <c r="N215" s="10">
        <f>IF(H215="Sim",VLOOKUP("Minecraft Pass",Parâmetros!$A$11:$B$13,2,0),0)*K215</f>
        <v>123.69000000000001</v>
      </c>
      <c r="O215" s="10">
        <f>IF(I215="Sim",VLOOKUP("Call of Duty Pass",Parâmetros!$A$11:$B$13,2,0),0)*K215</f>
        <v>0</v>
      </c>
      <c r="P215" s="10">
        <f>(L215*K215+M215+N215+O215)*IF(F215="Promoção",1-Parâmetros!$B$22,1)</f>
        <v>3012.6420000000003</v>
      </c>
      <c r="Q215" s="10">
        <f>Parâmetros!$B$20*K215</f>
        <v>372</v>
      </c>
      <c r="R215" s="10">
        <f>P215-Q215</f>
        <v>2640.6420000000003</v>
      </c>
    </row>
    <row r="216" spans="1:18">
      <c r="A216">
        <v>215</v>
      </c>
      <c r="B216" s="8">
        <v>45540</v>
      </c>
      <c r="C216" t="s">
        <v>7</v>
      </c>
      <c r="D216" t="s">
        <v>40</v>
      </c>
      <c r="E216" t="s">
        <v>41</v>
      </c>
      <c r="F216" t="s">
        <v>42</v>
      </c>
      <c r="G216" t="s">
        <v>43</v>
      </c>
      <c r="H216" t="s">
        <v>43</v>
      </c>
      <c r="I216" t="s">
        <v>44</v>
      </c>
      <c r="J216" t="s">
        <v>45</v>
      </c>
      <c r="K216" s="9">
        <v>20</v>
      </c>
      <c r="L216" s="10">
        <f>IFERROR(VLOOKUP(C216,Parâmetros!$A$5:$D$7,IF(D216="Mensal",2,IF(D216="Trimestral",3,4)),0),0)</f>
        <v>40</v>
      </c>
      <c r="M216" s="10">
        <f>IF(G216="Sim",VLOOKUP("EA Play",Parâmetros!$A$11:$B$13,2,0),0)*K216</f>
        <v>99.800000000000011</v>
      </c>
      <c r="N216" s="10">
        <f>IF(H216="Sim",VLOOKUP("Minecraft Pass",Parâmetros!$A$11:$B$13,2,0),0)*K216</f>
        <v>79.800000000000011</v>
      </c>
      <c r="O216" s="10">
        <f>IF(I216="Sim",VLOOKUP("Call of Duty Pass",Parâmetros!$A$11:$B$13,2,0),0)*K216</f>
        <v>0</v>
      </c>
      <c r="P216" s="10">
        <f>(L216*K216+M216+N216+O216)*IF(F216="Promoção",1-Parâmetros!$B$22,1)</f>
        <v>979.59999999999991</v>
      </c>
      <c r="Q216" s="10">
        <f>Parâmetros!$B$20*K216</f>
        <v>240</v>
      </c>
      <c r="R216" s="10">
        <f>P216-Q216</f>
        <v>739.59999999999991</v>
      </c>
    </row>
    <row r="217" spans="1:18">
      <c r="A217">
        <v>216</v>
      </c>
      <c r="B217" s="8">
        <v>45559</v>
      </c>
      <c r="C217" t="s">
        <v>6</v>
      </c>
      <c r="D217" t="s">
        <v>50</v>
      </c>
      <c r="E217" t="s">
        <v>47</v>
      </c>
      <c r="F217" t="s">
        <v>54</v>
      </c>
      <c r="G217" t="s">
        <v>44</v>
      </c>
      <c r="H217" t="s">
        <v>44</v>
      </c>
      <c r="I217" t="s">
        <v>44</v>
      </c>
      <c r="J217" t="s">
        <v>49</v>
      </c>
      <c r="K217" s="9">
        <v>21</v>
      </c>
      <c r="L217" s="10">
        <f>IFERROR(VLOOKUP(C217,Parâmetros!$A$5:$D$7,IF(D217="Mensal",2,IF(D217="Trimestral",3,4)),0),0)</f>
        <v>99</v>
      </c>
      <c r="M217" s="10">
        <f>IF(G217="Sim",VLOOKUP("EA Play",Parâmetros!$A$11:$B$13,2,0),0)*K217</f>
        <v>0</v>
      </c>
      <c r="N217" s="10">
        <f>IF(H217="Sim",VLOOKUP("Minecraft Pass",Parâmetros!$A$11:$B$13,2,0),0)*K217</f>
        <v>0</v>
      </c>
      <c r="O217" s="10">
        <f>IF(I217="Sim",VLOOKUP("Call of Duty Pass",Parâmetros!$A$11:$B$13,2,0),0)*K217</f>
        <v>0</v>
      </c>
      <c r="P217" s="10">
        <f>(L217*K217+M217+N217+O217)*IF(F217="Promoção",1-Parâmetros!$B$22,1)</f>
        <v>1871.1000000000001</v>
      </c>
      <c r="Q217" s="10">
        <f>Parâmetros!$B$20*K217</f>
        <v>252</v>
      </c>
      <c r="R217" s="10">
        <f>P217-Q217</f>
        <v>1619.1000000000001</v>
      </c>
    </row>
    <row r="218" spans="1:18">
      <c r="A218">
        <v>217</v>
      </c>
      <c r="B218" s="8">
        <v>45715</v>
      </c>
      <c r="C218" t="s">
        <v>6</v>
      </c>
      <c r="D218" t="s">
        <v>50</v>
      </c>
      <c r="E218" t="s">
        <v>51</v>
      </c>
      <c r="F218" t="s">
        <v>42</v>
      </c>
      <c r="G218" t="s">
        <v>44</v>
      </c>
      <c r="H218" t="s">
        <v>44</v>
      </c>
      <c r="I218" t="s">
        <v>44</v>
      </c>
      <c r="J218" t="s">
        <v>49</v>
      </c>
      <c r="K218" s="9">
        <v>13</v>
      </c>
      <c r="L218" s="10">
        <f>IFERROR(VLOOKUP(C218,Parâmetros!$A$5:$D$7,IF(D218="Mensal",2,IF(D218="Trimestral",3,4)),0),0)</f>
        <v>99</v>
      </c>
      <c r="M218" s="10">
        <f>IF(G218="Sim",VLOOKUP("EA Play",Parâmetros!$A$11:$B$13,2,0),0)*K218</f>
        <v>0</v>
      </c>
      <c r="N218" s="10">
        <f>IF(H218="Sim",VLOOKUP("Minecraft Pass",Parâmetros!$A$11:$B$13,2,0),0)*K218</f>
        <v>0</v>
      </c>
      <c r="O218" s="10">
        <f>IF(I218="Sim",VLOOKUP("Call of Duty Pass",Parâmetros!$A$11:$B$13,2,0),0)*K218</f>
        <v>0</v>
      </c>
      <c r="P218" s="10">
        <f>(L218*K218+M218+N218+O218)*IF(F218="Promoção",1-Parâmetros!$B$22,1)</f>
        <v>1287</v>
      </c>
      <c r="Q218" s="10">
        <f>Parâmetros!$B$20*K218</f>
        <v>156</v>
      </c>
      <c r="R218" s="10">
        <f>P218-Q218</f>
        <v>1131</v>
      </c>
    </row>
    <row r="219" spans="1:18">
      <c r="A219">
        <v>218</v>
      </c>
      <c r="B219" s="8">
        <v>45629</v>
      </c>
      <c r="C219" t="s">
        <v>6</v>
      </c>
      <c r="D219" t="s">
        <v>40</v>
      </c>
      <c r="E219" t="s">
        <v>41</v>
      </c>
      <c r="F219" t="s">
        <v>48</v>
      </c>
      <c r="G219" t="s">
        <v>44</v>
      </c>
      <c r="H219" t="s">
        <v>43</v>
      </c>
      <c r="I219" t="s">
        <v>44</v>
      </c>
      <c r="J219" t="s">
        <v>49</v>
      </c>
      <c r="K219" s="9">
        <v>32</v>
      </c>
      <c r="L219" s="10">
        <f>IFERROR(VLOOKUP(C219,Parâmetros!$A$5:$D$7,IF(D219="Mensal",2,IF(D219="Trimestral",3,4)),0),0)</f>
        <v>27</v>
      </c>
      <c r="M219" s="10">
        <f>IF(G219="Sim",VLOOKUP("EA Play",Parâmetros!$A$11:$B$13,2,0),0)*K219</f>
        <v>0</v>
      </c>
      <c r="N219" s="10">
        <f>IF(H219="Sim",VLOOKUP("Minecraft Pass",Parâmetros!$A$11:$B$13,2,0),0)*K219</f>
        <v>127.68</v>
      </c>
      <c r="O219" s="10">
        <f>IF(I219="Sim",VLOOKUP("Call of Duty Pass",Parâmetros!$A$11:$B$13,2,0),0)*K219</f>
        <v>0</v>
      </c>
      <c r="P219" s="10">
        <f>(L219*K219+M219+N219+O219)*IF(F219="Promoção",1-Parâmetros!$B$22,1)</f>
        <v>991.68000000000006</v>
      </c>
      <c r="Q219" s="10">
        <f>Parâmetros!$B$20*K219</f>
        <v>384</v>
      </c>
      <c r="R219" s="10">
        <f>P219-Q219</f>
        <v>607.68000000000006</v>
      </c>
    </row>
    <row r="220" spans="1:18">
      <c r="A220">
        <v>219</v>
      </c>
      <c r="B220" s="8">
        <v>45763</v>
      </c>
      <c r="C220" t="s">
        <v>6</v>
      </c>
      <c r="D220" t="s">
        <v>40</v>
      </c>
      <c r="E220" t="s">
        <v>41</v>
      </c>
      <c r="F220" t="s">
        <v>52</v>
      </c>
      <c r="G220" t="s">
        <v>44</v>
      </c>
      <c r="H220" t="s">
        <v>44</v>
      </c>
      <c r="I220" t="s">
        <v>44</v>
      </c>
      <c r="J220" t="s">
        <v>45</v>
      </c>
      <c r="K220" s="9">
        <v>4</v>
      </c>
      <c r="L220" s="10">
        <f>IFERROR(VLOOKUP(C220,Parâmetros!$A$5:$D$7,IF(D220="Mensal",2,IF(D220="Trimestral",3,4)),0),0)</f>
        <v>27</v>
      </c>
      <c r="M220" s="10">
        <f>IF(G220="Sim",VLOOKUP("EA Play",Parâmetros!$A$11:$B$13,2,0),0)*K220</f>
        <v>0</v>
      </c>
      <c r="N220" s="10">
        <f>IF(H220="Sim",VLOOKUP("Minecraft Pass",Parâmetros!$A$11:$B$13,2,0),0)*K220</f>
        <v>0</v>
      </c>
      <c r="O220" s="10">
        <f>IF(I220="Sim",VLOOKUP("Call of Duty Pass",Parâmetros!$A$11:$B$13,2,0),0)*K220</f>
        <v>0</v>
      </c>
      <c r="P220" s="10">
        <f>(L220*K220+M220+N220+O220)*IF(F220="Promoção",1-Parâmetros!$B$22,1)</f>
        <v>108</v>
      </c>
      <c r="Q220" s="10">
        <f>Parâmetros!$B$20*K220</f>
        <v>48</v>
      </c>
      <c r="R220" s="10">
        <f>P220-Q220</f>
        <v>60</v>
      </c>
    </row>
    <row r="221" spans="1:18">
      <c r="A221">
        <v>220</v>
      </c>
      <c r="B221" s="8">
        <v>45828</v>
      </c>
      <c r="C221" t="s">
        <v>6</v>
      </c>
      <c r="D221" t="s">
        <v>50</v>
      </c>
      <c r="E221" t="s">
        <v>53</v>
      </c>
      <c r="F221" t="s">
        <v>52</v>
      </c>
      <c r="G221" t="s">
        <v>44</v>
      </c>
      <c r="H221" t="s">
        <v>44</v>
      </c>
      <c r="I221" t="s">
        <v>44</v>
      </c>
      <c r="J221" t="s">
        <v>49</v>
      </c>
      <c r="K221" s="9">
        <v>10</v>
      </c>
      <c r="L221" s="10">
        <f>IFERROR(VLOOKUP(C221,Parâmetros!$A$5:$D$7,IF(D221="Mensal",2,IF(D221="Trimestral",3,4)),0),0)</f>
        <v>99</v>
      </c>
      <c r="M221" s="10">
        <f>IF(G221="Sim",VLOOKUP("EA Play",Parâmetros!$A$11:$B$13,2,0),0)*K221</f>
        <v>0</v>
      </c>
      <c r="N221" s="10">
        <f>IF(H221="Sim",VLOOKUP("Minecraft Pass",Parâmetros!$A$11:$B$13,2,0),0)*K221</f>
        <v>0</v>
      </c>
      <c r="O221" s="10">
        <f>IF(I221="Sim",VLOOKUP("Call of Duty Pass",Parâmetros!$A$11:$B$13,2,0),0)*K221</f>
        <v>0</v>
      </c>
      <c r="P221" s="10">
        <f>(L221*K221+M221+N221+O221)*IF(F221="Promoção",1-Parâmetros!$B$22,1)</f>
        <v>990</v>
      </c>
      <c r="Q221" s="10">
        <f>Parâmetros!$B$20*K221</f>
        <v>120</v>
      </c>
      <c r="R221" s="10">
        <f>P221-Q221</f>
        <v>870</v>
      </c>
    </row>
    <row r="222" spans="1:18">
      <c r="A222">
        <v>221</v>
      </c>
      <c r="B222" s="8">
        <v>45301</v>
      </c>
      <c r="C222" t="s">
        <v>6</v>
      </c>
      <c r="D222" t="s">
        <v>46</v>
      </c>
      <c r="E222" t="s">
        <v>41</v>
      </c>
      <c r="F222" t="s">
        <v>52</v>
      </c>
      <c r="G222" t="s">
        <v>44</v>
      </c>
      <c r="H222" t="s">
        <v>44</v>
      </c>
      <c r="I222" t="s">
        <v>44</v>
      </c>
      <c r="J222" t="s">
        <v>49</v>
      </c>
      <c r="K222" s="9">
        <v>35</v>
      </c>
      <c r="L222" s="10">
        <f>IFERROR(VLOOKUP(C222,Parâmetros!$A$5:$D$7,IF(D222="Mensal",2,IF(D222="Trimestral",3,4)),0),0)</f>
        <v>9.99</v>
      </c>
      <c r="M222" s="10">
        <f>IF(G222="Sim",VLOOKUP("EA Play",Parâmetros!$A$11:$B$13,2,0),0)*K222</f>
        <v>0</v>
      </c>
      <c r="N222" s="10">
        <f>IF(H222="Sim",VLOOKUP("Minecraft Pass",Parâmetros!$A$11:$B$13,2,0),0)*K222</f>
        <v>0</v>
      </c>
      <c r="O222" s="10">
        <f>IF(I222="Sim",VLOOKUP("Call of Duty Pass",Parâmetros!$A$11:$B$13,2,0),0)*K222</f>
        <v>0</v>
      </c>
      <c r="P222" s="10">
        <f>(L222*K222+M222+N222+O222)*IF(F222="Promoção",1-Parâmetros!$B$22,1)</f>
        <v>349.65000000000003</v>
      </c>
      <c r="Q222" s="10">
        <f>Parâmetros!$B$20*K222</f>
        <v>420</v>
      </c>
      <c r="R222" s="10">
        <f>P222-Q222</f>
        <v>-70.349999999999966</v>
      </c>
    </row>
    <row r="223" spans="1:18">
      <c r="A223">
        <v>222</v>
      </c>
      <c r="B223" s="8">
        <v>45856</v>
      </c>
      <c r="C223" t="s">
        <v>7</v>
      </c>
      <c r="D223" t="s">
        <v>46</v>
      </c>
      <c r="E223" t="s">
        <v>51</v>
      </c>
      <c r="F223" t="s">
        <v>48</v>
      </c>
      <c r="G223" t="s">
        <v>43</v>
      </c>
      <c r="H223" t="s">
        <v>44</v>
      </c>
      <c r="I223" t="s">
        <v>44</v>
      </c>
      <c r="J223" t="s">
        <v>49</v>
      </c>
      <c r="K223" s="9">
        <v>12</v>
      </c>
      <c r="L223" s="10">
        <f>IFERROR(VLOOKUP(C223,Parâmetros!$A$5:$D$7,IF(D223="Mensal",2,IF(D223="Trimestral",3,4)),0),0)</f>
        <v>14.99</v>
      </c>
      <c r="M223" s="10">
        <f>IF(G223="Sim",VLOOKUP("EA Play",Parâmetros!$A$11:$B$13,2,0),0)*K223</f>
        <v>59.88</v>
      </c>
      <c r="N223" s="10">
        <f>IF(H223="Sim",VLOOKUP("Minecraft Pass",Parâmetros!$A$11:$B$13,2,0),0)*K223</f>
        <v>0</v>
      </c>
      <c r="O223" s="10">
        <f>IF(I223="Sim",VLOOKUP("Call of Duty Pass",Parâmetros!$A$11:$B$13,2,0),0)*K223</f>
        <v>0</v>
      </c>
      <c r="P223" s="10">
        <f>(L223*K223+M223+N223+O223)*IF(F223="Promoção",1-Parâmetros!$B$22,1)</f>
        <v>239.76</v>
      </c>
      <c r="Q223" s="10">
        <f>Parâmetros!$B$20*K223</f>
        <v>144</v>
      </c>
      <c r="R223" s="10">
        <f>P223-Q223</f>
        <v>95.759999999999991</v>
      </c>
    </row>
    <row r="224" spans="1:18">
      <c r="A224">
        <v>223</v>
      </c>
      <c r="B224" s="8">
        <v>45401</v>
      </c>
      <c r="C224" t="s">
        <v>8</v>
      </c>
      <c r="D224" t="s">
        <v>40</v>
      </c>
      <c r="E224" t="s">
        <v>41</v>
      </c>
      <c r="F224" t="s">
        <v>52</v>
      </c>
      <c r="G224" t="s">
        <v>43</v>
      </c>
      <c r="H224" t="s">
        <v>43</v>
      </c>
      <c r="I224" t="s">
        <v>44</v>
      </c>
      <c r="J224" t="s">
        <v>49</v>
      </c>
      <c r="K224" s="9">
        <v>26</v>
      </c>
      <c r="L224" s="10">
        <f>IFERROR(VLOOKUP(C224,Parâmetros!$A$5:$D$7,IF(D224="Mensal",2,IF(D224="Trimestral",3,4)),0),0)</f>
        <v>59</v>
      </c>
      <c r="M224" s="10">
        <f>IF(G224="Sim",VLOOKUP("EA Play",Parâmetros!$A$11:$B$13,2,0),0)*K224</f>
        <v>129.74</v>
      </c>
      <c r="N224" s="10">
        <f>IF(H224="Sim",VLOOKUP("Minecraft Pass",Parâmetros!$A$11:$B$13,2,0),0)*K224</f>
        <v>103.74000000000001</v>
      </c>
      <c r="O224" s="10">
        <f>IF(I224="Sim",VLOOKUP("Call of Duty Pass",Parâmetros!$A$11:$B$13,2,0),0)*K224</f>
        <v>0</v>
      </c>
      <c r="P224" s="10">
        <f>(L224*K224+M224+N224+O224)*IF(F224="Promoção",1-Parâmetros!$B$22,1)</f>
        <v>1767.48</v>
      </c>
      <c r="Q224" s="10">
        <f>Parâmetros!$B$20*K224</f>
        <v>312</v>
      </c>
      <c r="R224" s="10">
        <f>P224-Q224</f>
        <v>1455.48</v>
      </c>
    </row>
    <row r="225" spans="1:18">
      <c r="A225">
        <v>224</v>
      </c>
      <c r="B225" s="8">
        <v>45762</v>
      </c>
      <c r="C225" t="s">
        <v>7</v>
      </c>
      <c r="D225" t="s">
        <v>50</v>
      </c>
      <c r="E225" t="s">
        <v>41</v>
      </c>
      <c r="F225" t="s">
        <v>52</v>
      </c>
      <c r="G225" t="s">
        <v>44</v>
      </c>
      <c r="H225" t="s">
        <v>44</v>
      </c>
      <c r="I225" t="s">
        <v>44</v>
      </c>
      <c r="J225" t="s">
        <v>45</v>
      </c>
      <c r="K225" s="9">
        <v>6</v>
      </c>
      <c r="L225" s="10">
        <f>IFERROR(VLOOKUP(C225,Parâmetros!$A$5:$D$7,IF(D225="Mensal",2,IF(D225="Trimestral",3,4)),0),0)</f>
        <v>149</v>
      </c>
      <c r="M225" s="10">
        <f>IF(G225="Sim",VLOOKUP("EA Play",Parâmetros!$A$11:$B$13,2,0),0)*K225</f>
        <v>0</v>
      </c>
      <c r="N225" s="10">
        <f>IF(H225="Sim",VLOOKUP("Minecraft Pass",Parâmetros!$A$11:$B$13,2,0),0)*K225</f>
        <v>0</v>
      </c>
      <c r="O225" s="10">
        <f>IF(I225="Sim",VLOOKUP("Call of Duty Pass",Parâmetros!$A$11:$B$13,2,0),0)*K225</f>
        <v>0</v>
      </c>
      <c r="P225" s="10">
        <f>(L225*K225+M225+N225+O225)*IF(F225="Promoção",1-Parâmetros!$B$22,1)</f>
        <v>894</v>
      </c>
      <c r="Q225" s="10">
        <f>Parâmetros!$B$20*K225</f>
        <v>72</v>
      </c>
      <c r="R225" s="10">
        <f>P225-Q225</f>
        <v>822</v>
      </c>
    </row>
    <row r="226" spans="1:18">
      <c r="A226">
        <v>225</v>
      </c>
      <c r="B226" s="8">
        <v>45707</v>
      </c>
      <c r="C226" t="s">
        <v>6</v>
      </c>
      <c r="D226" t="s">
        <v>40</v>
      </c>
      <c r="E226" t="s">
        <v>41</v>
      </c>
      <c r="F226" t="s">
        <v>42</v>
      </c>
      <c r="G226" t="s">
        <v>43</v>
      </c>
      <c r="H226" t="s">
        <v>44</v>
      </c>
      <c r="I226" t="s">
        <v>44</v>
      </c>
      <c r="J226" t="s">
        <v>45</v>
      </c>
      <c r="K226" s="9">
        <v>7</v>
      </c>
      <c r="L226" s="10">
        <f>IFERROR(VLOOKUP(C226,Parâmetros!$A$5:$D$7,IF(D226="Mensal",2,IF(D226="Trimestral",3,4)),0),0)</f>
        <v>27</v>
      </c>
      <c r="M226" s="10">
        <f>IF(G226="Sim",VLOOKUP("EA Play",Parâmetros!$A$11:$B$13,2,0),0)*K226</f>
        <v>34.93</v>
      </c>
      <c r="N226" s="10">
        <f>IF(H226="Sim",VLOOKUP("Minecraft Pass",Parâmetros!$A$11:$B$13,2,0),0)*K226</f>
        <v>0</v>
      </c>
      <c r="O226" s="10">
        <f>IF(I226="Sim",VLOOKUP("Call of Duty Pass",Parâmetros!$A$11:$B$13,2,0),0)*K226</f>
        <v>0</v>
      </c>
      <c r="P226" s="10">
        <f>(L226*K226+M226+N226+O226)*IF(F226="Promoção",1-Parâmetros!$B$22,1)</f>
        <v>223.93</v>
      </c>
      <c r="Q226" s="10">
        <f>Parâmetros!$B$20*K226</f>
        <v>84</v>
      </c>
      <c r="R226" s="10">
        <f>P226-Q226</f>
        <v>139.93</v>
      </c>
    </row>
    <row r="227" spans="1:18">
      <c r="A227">
        <v>226</v>
      </c>
      <c r="B227" s="8">
        <v>45832</v>
      </c>
      <c r="C227" t="s">
        <v>8</v>
      </c>
      <c r="D227" t="s">
        <v>46</v>
      </c>
      <c r="E227" t="s">
        <v>55</v>
      </c>
      <c r="F227" t="s">
        <v>52</v>
      </c>
      <c r="G227" t="s">
        <v>44</v>
      </c>
      <c r="H227" t="s">
        <v>43</v>
      </c>
      <c r="I227" t="s">
        <v>44</v>
      </c>
      <c r="J227" t="s">
        <v>45</v>
      </c>
      <c r="K227" s="9">
        <v>18</v>
      </c>
      <c r="L227" s="10">
        <f>IFERROR(VLOOKUP(C227,Parâmetros!$A$5:$D$7,IF(D227="Mensal",2,IF(D227="Trimestral",3,4)),0),0)</f>
        <v>21.99</v>
      </c>
      <c r="M227" s="10">
        <f>IF(G227="Sim",VLOOKUP("EA Play",Parâmetros!$A$11:$B$13,2,0),0)*K227</f>
        <v>0</v>
      </c>
      <c r="N227" s="10">
        <f>IF(H227="Sim",VLOOKUP("Minecraft Pass",Parâmetros!$A$11:$B$13,2,0),0)*K227</f>
        <v>71.820000000000007</v>
      </c>
      <c r="O227" s="10">
        <f>IF(I227="Sim",VLOOKUP("Call of Duty Pass",Parâmetros!$A$11:$B$13,2,0),0)*K227</f>
        <v>0</v>
      </c>
      <c r="P227" s="10">
        <f>(L227*K227+M227+N227+O227)*IF(F227="Promoção",1-Parâmetros!$B$22,1)</f>
        <v>467.64</v>
      </c>
      <c r="Q227" s="10">
        <f>Parâmetros!$B$20*K227</f>
        <v>216</v>
      </c>
      <c r="R227" s="10">
        <f>P227-Q227</f>
        <v>251.64</v>
      </c>
    </row>
    <row r="228" spans="1:18">
      <c r="A228">
        <v>227</v>
      </c>
      <c r="B228" s="8">
        <v>45848</v>
      </c>
      <c r="C228" t="s">
        <v>7</v>
      </c>
      <c r="D228" t="s">
        <v>46</v>
      </c>
      <c r="E228" t="s">
        <v>55</v>
      </c>
      <c r="F228" t="s">
        <v>42</v>
      </c>
      <c r="G228" t="s">
        <v>44</v>
      </c>
      <c r="H228" t="s">
        <v>44</v>
      </c>
      <c r="I228" t="s">
        <v>44</v>
      </c>
      <c r="J228" t="s">
        <v>45</v>
      </c>
      <c r="K228" s="9">
        <v>26</v>
      </c>
      <c r="L228" s="10">
        <f>IFERROR(VLOOKUP(C228,Parâmetros!$A$5:$D$7,IF(D228="Mensal",2,IF(D228="Trimestral",3,4)),0),0)</f>
        <v>14.99</v>
      </c>
      <c r="M228" s="10">
        <f>IF(G228="Sim",VLOOKUP("EA Play",Parâmetros!$A$11:$B$13,2,0),0)*K228</f>
        <v>0</v>
      </c>
      <c r="N228" s="10">
        <f>IF(H228="Sim",VLOOKUP("Minecraft Pass",Parâmetros!$A$11:$B$13,2,0),0)*K228</f>
        <v>0</v>
      </c>
      <c r="O228" s="10">
        <f>IF(I228="Sim",VLOOKUP("Call of Duty Pass",Parâmetros!$A$11:$B$13,2,0),0)*K228</f>
        <v>0</v>
      </c>
      <c r="P228" s="10">
        <f>(L228*K228+M228+N228+O228)*IF(F228="Promoção",1-Parâmetros!$B$22,1)</f>
        <v>389.74</v>
      </c>
      <c r="Q228" s="10">
        <f>Parâmetros!$B$20*K228</f>
        <v>312</v>
      </c>
      <c r="R228" s="10">
        <f>P228-Q228</f>
        <v>77.740000000000009</v>
      </c>
    </row>
    <row r="229" spans="1:18">
      <c r="A229">
        <v>228</v>
      </c>
      <c r="B229" s="8">
        <v>45370</v>
      </c>
      <c r="C229" t="s">
        <v>6</v>
      </c>
      <c r="D229" t="s">
        <v>40</v>
      </c>
      <c r="E229" t="s">
        <v>47</v>
      </c>
      <c r="F229" t="s">
        <v>54</v>
      </c>
      <c r="G229" t="s">
        <v>44</v>
      </c>
      <c r="H229" t="s">
        <v>44</v>
      </c>
      <c r="I229" t="s">
        <v>44</v>
      </c>
      <c r="J229" t="s">
        <v>45</v>
      </c>
      <c r="K229" s="9">
        <v>6</v>
      </c>
      <c r="L229" s="10">
        <f>IFERROR(VLOOKUP(C229,Parâmetros!$A$5:$D$7,IF(D229="Mensal",2,IF(D229="Trimestral",3,4)),0),0)</f>
        <v>27</v>
      </c>
      <c r="M229" s="10">
        <f>IF(G229="Sim",VLOOKUP("EA Play",Parâmetros!$A$11:$B$13,2,0),0)*K229</f>
        <v>0</v>
      </c>
      <c r="N229" s="10">
        <f>IF(H229="Sim",VLOOKUP("Minecraft Pass",Parâmetros!$A$11:$B$13,2,0),0)*K229</f>
        <v>0</v>
      </c>
      <c r="O229" s="10">
        <f>IF(I229="Sim",VLOOKUP("Call of Duty Pass",Parâmetros!$A$11:$B$13,2,0),0)*K229</f>
        <v>0</v>
      </c>
      <c r="P229" s="10">
        <f>(L229*K229+M229+N229+O229)*IF(F229="Promoção",1-Parâmetros!$B$22,1)</f>
        <v>145.80000000000001</v>
      </c>
      <c r="Q229" s="10">
        <f>Parâmetros!$B$20*K229</f>
        <v>72</v>
      </c>
      <c r="R229" s="10">
        <f>P229-Q229</f>
        <v>73.800000000000011</v>
      </c>
    </row>
    <row r="230" spans="1:18">
      <c r="A230">
        <v>229</v>
      </c>
      <c r="B230" s="8">
        <v>45804</v>
      </c>
      <c r="C230" t="s">
        <v>7</v>
      </c>
      <c r="D230" t="s">
        <v>46</v>
      </c>
      <c r="E230" t="s">
        <v>41</v>
      </c>
      <c r="F230" t="s">
        <v>42</v>
      </c>
      <c r="G230" t="s">
        <v>43</v>
      </c>
      <c r="H230" t="s">
        <v>44</v>
      </c>
      <c r="I230" t="s">
        <v>44</v>
      </c>
      <c r="J230" t="s">
        <v>45</v>
      </c>
      <c r="K230" s="9">
        <v>21</v>
      </c>
      <c r="L230" s="10">
        <f>IFERROR(VLOOKUP(C230,Parâmetros!$A$5:$D$7,IF(D230="Mensal",2,IF(D230="Trimestral",3,4)),0),0)</f>
        <v>14.99</v>
      </c>
      <c r="M230" s="10">
        <f>IF(G230="Sim",VLOOKUP("EA Play",Parâmetros!$A$11:$B$13,2,0),0)*K230</f>
        <v>104.79</v>
      </c>
      <c r="N230" s="10">
        <f>IF(H230="Sim",VLOOKUP("Minecraft Pass",Parâmetros!$A$11:$B$13,2,0),0)*K230</f>
        <v>0</v>
      </c>
      <c r="O230" s="10">
        <f>IF(I230="Sim",VLOOKUP("Call of Duty Pass",Parâmetros!$A$11:$B$13,2,0),0)*K230</f>
        <v>0</v>
      </c>
      <c r="P230" s="10">
        <f>(L230*K230+M230+N230+O230)*IF(F230="Promoção",1-Parâmetros!$B$22,1)</f>
        <v>419.58000000000004</v>
      </c>
      <c r="Q230" s="10">
        <f>Parâmetros!$B$20*K230</f>
        <v>252</v>
      </c>
      <c r="R230" s="10">
        <f>P230-Q230</f>
        <v>167.58000000000004</v>
      </c>
    </row>
    <row r="231" spans="1:18">
      <c r="A231">
        <v>230</v>
      </c>
      <c r="B231" s="8">
        <v>45322</v>
      </c>
      <c r="C231" t="s">
        <v>7</v>
      </c>
      <c r="D231" t="s">
        <v>40</v>
      </c>
      <c r="E231" t="s">
        <v>47</v>
      </c>
      <c r="F231" t="s">
        <v>42</v>
      </c>
      <c r="G231" t="s">
        <v>44</v>
      </c>
      <c r="H231" t="s">
        <v>43</v>
      </c>
      <c r="I231" t="s">
        <v>43</v>
      </c>
      <c r="J231" t="s">
        <v>45</v>
      </c>
      <c r="K231" s="9">
        <v>25</v>
      </c>
      <c r="L231" s="10">
        <f>IFERROR(VLOOKUP(C231,Parâmetros!$A$5:$D$7,IF(D231="Mensal",2,IF(D231="Trimestral",3,4)),0),0)</f>
        <v>40</v>
      </c>
      <c r="M231" s="10">
        <f>IF(G231="Sim",VLOOKUP("EA Play",Parâmetros!$A$11:$B$13,2,0),0)*K231</f>
        <v>0</v>
      </c>
      <c r="N231" s="10">
        <f>IF(H231="Sim",VLOOKUP("Minecraft Pass",Parâmetros!$A$11:$B$13,2,0),0)*K231</f>
        <v>99.75</v>
      </c>
      <c r="O231" s="10">
        <f>IF(I231="Sim",VLOOKUP("Call of Duty Pass",Parâmetros!$A$11:$B$13,2,0),0)*K231</f>
        <v>174.75</v>
      </c>
      <c r="P231" s="10">
        <f>(L231*K231+M231+N231+O231)*IF(F231="Promoção",1-Parâmetros!$B$22,1)</f>
        <v>1274.5</v>
      </c>
      <c r="Q231" s="10">
        <f>Parâmetros!$B$20*K231</f>
        <v>300</v>
      </c>
      <c r="R231" s="10">
        <f>P231-Q231</f>
        <v>974.5</v>
      </c>
    </row>
    <row r="232" spans="1:18">
      <c r="A232">
        <v>231</v>
      </c>
      <c r="B232" s="8">
        <v>45379</v>
      </c>
      <c r="C232" t="s">
        <v>8</v>
      </c>
      <c r="D232" t="s">
        <v>46</v>
      </c>
      <c r="E232" t="s">
        <v>41</v>
      </c>
      <c r="F232" t="s">
        <v>42</v>
      </c>
      <c r="G232" t="s">
        <v>43</v>
      </c>
      <c r="H232" t="s">
        <v>43</v>
      </c>
      <c r="I232" t="s">
        <v>44</v>
      </c>
      <c r="J232" t="s">
        <v>49</v>
      </c>
      <c r="K232" s="9">
        <v>25</v>
      </c>
      <c r="L232" s="10">
        <f>IFERROR(VLOOKUP(C232,Parâmetros!$A$5:$D$7,IF(D232="Mensal",2,IF(D232="Trimestral",3,4)),0),0)</f>
        <v>21.99</v>
      </c>
      <c r="M232" s="10">
        <f>IF(G232="Sim",VLOOKUP("EA Play",Parâmetros!$A$11:$B$13,2,0),0)*K232</f>
        <v>124.75</v>
      </c>
      <c r="N232" s="10">
        <f>IF(H232="Sim",VLOOKUP("Minecraft Pass",Parâmetros!$A$11:$B$13,2,0),0)*K232</f>
        <v>99.75</v>
      </c>
      <c r="O232" s="10">
        <f>IF(I232="Sim",VLOOKUP("Call of Duty Pass",Parâmetros!$A$11:$B$13,2,0),0)*K232</f>
        <v>0</v>
      </c>
      <c r="P232" s="10">
        <f>(L232*K232+M232+N232+O232)*IF(F232="Promoção",1-Parâmetros!$B$22,1)</f>
        <v>774.25</v>
      </c>
      <c r="Q232" s="10">
        <f>Parâmetros!$B$20*K232</f>
        <v>300</v>
      </c>
      <c r="R232" s="10">
        <f>P232-Q232</f>
        <v>474.25</v>
      </c>
    </row>
    <row r="233" spans="1:18">
      <c r="A233">
        <v>232</v>
      </c>
      <c r="B233" s="8">
        <v>45616</v>
      </c>
      <c r="C233" t="s">
        <v>6</v>
      </c>
      <c r="D233" t="s">
        <v>46</v>
      </c>
      <c r="E233" t="s">
        <v>53</v>
      </c>
      <c r="F233" t="s">
        <v>48</v>
      </c>
      <c r="G233" t="s">
        <v>44</v>
      </c>
      <c r="H233" t="s">
        <v>43</v>
      </c>
      <c r="I233" t="s">
        <v>43</v>
      </c>
      <c r="J233" t="s">
        <v>49</v>
      </c>
      <c r="K233" s="9">
        <v>33</v>
      </c>
      <c r="L233" s="10">
        <f>IFERROR(VLOOKUP(C233,Parâmetros!$A$5:$D$7,IF(D233="Mensal",2,IF(D233="Trimestral",3,4)),0),0)</f>
        <v>9.99</v>
      </c>
      <c r="M233" s="10">
        <f>IF(G233="Sim",VLOOKUP("EA Play",Parâmetros!$A$11:$B$13,2,0),0)*K233</f>
        <v>0</v>
      </c>
      <c r="N233" s="10">
        <f>IF(H233="Sim",VLOOKUP("Minecraft Pass",Parâmetros!$A$11:$B$13,2,0),0)*K233</f>
        <v>131.67000000000002</v>
      </c>
      <c r="O233" s="10">
        <f>IF(I233="Sim",VLOOKUP("Call of Duty Pass",Parâmetros!$A$11:$B$13,2,0),0)*K233</f>
        <v>230.67000000000002</v>
      </c>
      <c r="P233" s="10">
        <f>(L233*K233+M233+N233+O233)*IF(F233="Promoção",1-Parâmetros!$B$22,1)</f>
        <v>692.01</v>
      </c>
      <c r="Q233" s="10">
        <f>Parâmetros!$B$20*K233</f>
        <v>396</v>
      </c>
      <c r="R233" s="10">
        <f>P233-Q233</f>
        <v>296.01</v>
      </c>
    </row>
    <row r="234" spans="1:18">
      <c r="A234">
        <v>233</v>
      </c>
      <c r="B234" s="8">
        <v>45709</v>
      </c>
      <c r="C234" t="s">
        <v>6</v>
      </c>
      <c r="D234" t="s">
        <v>46</v>
      </c>
      <c r="E234" t="s">
        <v>47</v>
      </c>
      <c r="F234" t="s">
        <v>48</v>
      </c>
      <c r="G234" t="s">
        <v>44</v>
      </c>
      <c r="H234" t="s">
        <v>44</v>
      </c>
      <c r="I234" t="s">
        <v>43</v>
      </c>
      <c r="J234" t="s">
        <v>49</v>
      </c>
      <c r="K234" s="9">
        <v>6</v>
      </c>
      <c r="L234" s="10">
        <f>IFERROR(VLOOKUP(C234,Parâmetros!$A$5:$D$7,IF(D234="Mensal",2,IF(D234="Trimestral",3,4)),0),0)</f>
        <v>9.99</v>
      </c>
      <c r="M234" s="10">
        <f>IF(G234="Sim",VLOOKUP("EA Play",Parâmetros!$A$11:$B$13,2,0),0)*K234</f>
        <v>0</v>
      </c>
      <c r="N234" s="10">
        <f>IF(H234="Sim",VLOOKUP("Minecraft Pass",Parâmetros!$A$11:$B$13,2,0),0)*K234</f>
        <v>0</v>
      </c>
      <c r="O234" s="10">
        <f>IF(I234="Sim",VLOOKUP("Call of Duty Pass",Parâmetros!$A$11:$B$13,2,0),0)*K234</f>
        <v>41.94</v>
      </c>
      <c r="P234" s="10">
        <f>(L234*K234+M234+N234+O234)*IF(F234="Promoção",1-Parâmetros!$B$22,1)</f>
        <v>101.88</v>
      </c>
      <c r="Q234" s="10">
        <f>Parâmetros!$B$20*K234</f>
        <v>72</v>
      </c>
      <c r="R234" s="10">
        <f>P234-Q234</f>
        <v>29.879999999999995</v>
      </c>
    </row>
    <row r="235" spans="1:18">
      <c r="A235">
        <v>234</v>
      </c>
      <c r="B235" s="8">
        <v>45864</v>
      </c>
      <c r="C235" t="s">
        <v>8</v>
      </c>
      <c r="D235" t="s">
        <v>50</v>
      </c>
      <c r="E235" t="s">
        <v>47</v>
      </c>
      <c r="F235" t="s">
        <v>42</v>
      </c>
      <c r="G235" t="s">
        <v>43</v>
      </c>
      <c r="H235" t="s">
        <v>43</v>
      </c>
      <c r="I235" t="s">
        <v>44</v>
      </c>
      <c r="J235" t="s">
        <v>49</v>
      </c>
      <c r="K235" s="9">
        <v>5</v>
      </c>
      <c r="L235" s="10">
        <f>IFERROR(VLOOKUP(C235,Parâmetros!$A$5:$D$7,IF(D235="Mensal",2,IF(D235="Trimestral",3,4)),0),0)</f>
        <v>219</v>
      </c>
      <c r="M235" s="10">
        <f>IF(G235="Sim",VLOOKUP("EA Play",Parâmetros!$A$11:$B$13,2,0),0)*K235</f>
        <v>24.950000000000003</v>
      </c>
      <c r="N235" s="10">
        <f>IF(H235="Sim",VLOOKUP("Minecraft Pass",Parâmetros!$A$11:$B$13,2,0),0)*K235</f>
        <v>19.950000000000003</v>
      </c>
      <c r="O235" s="10">
        <f>IF(I235="Sim",VLOOKUP("Call of Duty Pass",Parâmetros!$A$11:$B$13,2,0),0)*K235</f>
        <v>0</v>
      </c>
      <c r="P235" s="10">
        <f>(L235*K235+M235+N235+O235)*IF(F235="Promoção",1-Parâmetros!$B$22,1)</f>
        <v>1139.9000000000001</v>
      </c>
      <c r="Q235" s="10">
        <f>Parâmetros!$B$20*K235</f>
        <v>60</v>
      </c>
      <c r="R235" s="10">
        <f>P235-Q235</f>
        <v>1079.9000000000001</v>
      </c>
    </row>
    <row r="236" spans="1:18">
      <c r="A236">
        <v>235</v>
      </c>
      <c r="B236" s="8">
        <v>45463</v>
      </c>
      <c r="C236" t="s">
        <v>7</v>
      </c>
      <c r="D236" t="s">
        <v>46</v>
      </c>
      <c r="E236" t="s">
        <v>47</v>
      </c>
      <c r="F236" t="s">
        <v>42</v>
      </c>
      <c r="G236" t="s">
        <v>43</v>
      </c>
      <c r="H236" t="s">
        <v>43</v>
      </c>
      <c r="I236" t="s">
        <v>44</v>
      </c>
      <c r="J236" t="s">
        <v>45</v>
      </c>
      <c r="K236" s="9">
        <v>13</v>
      </c>
      <c r="L236" s="10">
        <f>IFERROR(VLOOKUP(C236,Parâmetros!$A$5:$D$7,IF(D236="Mensal",2,IF(D236="Trimestral",3,4)),0),0)</f>
        <v>14.99</v>
      </c>
      <c r="M236" s="10">
        <f>IF(G236="Sim",VLOOKUP("EA Play",Parâmetros!$A$11:$B$13,2,0),0)*K236</f>
        <v>64.87</v>
      </c>
      <c r="N236" s="10">
        <f>IF(H236="Sim",VLOOKUP("Minecraft Pass",Parâmetros!$A$11:$B$13,2,0),0)*K236</f>
        <v>51.870000000000005</v>
      </c>
      <c r="O236" s="10">
        <f>IF(I236="Sim",VLOOKUP("Call of Duty Pass",Parâmetros!$A$11:$B$13,2,0),0)*K236</f>
        <v>0</v>
      </c>
      <c r="P236" s="10">
        <f>(L236*K236+M236+N236+O236)*IF(F236="Promoção",1-Parâmetros!$B$22,1)</f>
        <v>311.61</v>
      </c>
      <c r="Q236" s="10">
        <f>Parâmetros!$B$20*K236</f>
        <v>156</v>
      </c>
      <c r="R236" s="10">
        <f>P236-Q236</f>
        <v>155.61000000000001</v>
      </c>
    </row>
    <row r="237" spans="1:18">
      <c r="A237">
        <v>236</v>
      </c>
      <c r="B237" s="8">
        <v>45760</v>
      </c>
      <c r="C237" t="s">
        <v>6</v>
      </c>
      <c r="D237" t="s">
        <v>46</v>
      </c>
      <c r="E237" t="s">
        <v>53</v>
      </c>
      <c r="F237" t="s">
        <v>42</v>
      </c>
      <c r="G237" t="s">
        <v>44</v>
      </c>
      <c r="H237" t="s">
        <v>44</v>
      </c>
      <c r="I237" t="s">
        <v>44</v>
      </c>
      <c r="J237" t="s">
        <v>49</v>
      </c>
      <c r="K237" s="9">
        <v>9</v>
      </c>
      <c r="L237" s="10">
        <f>IFERROR(VLOOKUP(C237,Parâmetros!$A$5:$D$7,IF(D237="Mensal",2,IF(D237="Trimestral",3,4)),0),0)</f>
        <v>9.99</v>
      </c>
      <c r="M237" s="10">
        <f>IF(G237="Sim",VLOOKUP("EA Play",Parâmetros!$A$11:$B$13,2,0),0)*K237</f>
        <v>0</v>
      </c>
      <c r="N237" s="10">
        <f>IF(H237="Sim",VLOOKUP("Minecraft Pass",Parâmetros!$A$11:$B$13,2,0),0)*K237</f>
        <v>0</v>
      </c>
      <c r="O237" s="10">
        <f>IF(I237="Sim",VLOOKUP("Call of Duty Pass",Parâmetros!$A$11:$B$13,2,0),0)*K237</f>
        <v>0</v>
      </c>
      <c r="P237" s="10">
        <f>(L237*K237+M237+N237+O237)*IF(F237="Promoção",1-Parâmetros!$B$22,1)</f>
        <v>89.91</v>
      </c>
      <c r="Q237" s="10">
        <f>Parâmetros!$B$20*K237</f>
        <v>108</v>
      </c>
      <c r="R237" s="10">
        <f>P237-Q237</f>
        <v>-18.090000000000003</v>
      </c>
    </row>
    <row r="238" spans="1:18">
      <c r="A238">
        <v>237</v>
      </c>
      <c r="B238" s="8">
        <v>45599</v>
      </c>
      <c r="C238" t="s">
        <v>6</v>
      </c>
      <c r="D238" t="s">
        <v>50</v>
      </c>
      <c r="E238" t="s">
        <v>41</v>
      </c>
      <c r="F238" t="s">
        <v>42</v>
      </c>
      <c r="G238" t="s">
        <v>44</v>
      </c>
      <c r="H238" t="s">
        <v>44</v>
      </c>
      <c r="I238" t="s">
        <v>43</v>
      </c>
      <c r="J238" t="s">
        <v>45</v>
      </c>
      <c r="K238" s="9">
        <v>32</v>
      </c>
      <c r="L238" s="10">
        <f>IFERROR(VLOOKUP(C238,Parâmetros!$A$5:$D$7,IF(D238="Mensal",2,IF(D238="Trimestral",3,4)),0),0)</f>
        <v>99</v>
      </c>
      <c r="M238" s="10">
        <f>IF(G238="Sim",VLOOKUP("EA Play",Parâmetros!$A$11:$B$13,2,0),0)*K238</f>
        <v>0</v>
      </c>
      <c r="N238" s="10">
        <f>IF(H238="Sim",VLOOKUP("Minecraft Pass",Parâmetros!$A$11:$B$13,2,0),0)*K238</f>
        <v>0</v>
      </c>
      <c r="O238" s="10">
        <f>IF(I238="Sim",VLOOKUP("Call of Duty Pass",Parâmetros!$A$11:$B$13,2,0),0)*K238</f>
        <v>223.68</v>
      </c>
      <c r="P238" s="10">
        <f>(L238*K238+M238+N238+O238)*IF(F238="Promoção",1-Parâmetros!$B$22,1)</f>
        <v>3391.68</v>
      </c>
      <c r="Q238" s="10">
        <f>Parâmetros!$B$20*K238</f>
        <v>384</v>
      </c>
      <c r="R238" s="10">
        <f>P238-Q238</f>
        <v>3007.68</v>
      </c>
    </row>
    <row r="239" spans="1:18">
      <c r="A239">
        <v>238</v>
      </c>
      <c r="B239" s="8">
        <v>45881</v>
      </c>
      <c r="C239" t="s">
        <v>8</v>
      </c>
      <c r="D239" t="s">
        <v>46</v>
      </c>
      <c r="E239" t="s">
        <v>41</v>
      </c>
      <c r="F239" t="s">
        <v>52</v>
      </c>
      <c r="G239" t="s">
        <v>43</v>
      </c>
      <c r="H239" t="s">
        <v>44</v>
      </c>
      <c r="I239" t="s">
        <v>43</v>
      </c>
      <c r="J239" t="s">
        <v>45</v>
      </c>
      <c r="K239" s="9">
        <v>12</v>
      </c>
      <c r="L239" s="10">
        <f>IFERROR(VLOOKUP(C239,Parâmetros!$A$5:$D$7,IF(D239="Mensal",2,IF(D239="Trimestral",3,4)),0),0)</f>
        <v>21.99</v>
      </c>
      <c r="M239" s="10">
        <f>IF(G239="Sim",VLOOKUP("EA Play",Parâmetros!$A$11:$B$13,2,0),0)*K239</f>
        <v>59.88</v>
      </c>
      <c r="N239" s="10">
        <f>IF(H239="Sim",VLOOKUP("Minecraft Pass",Parâmetros!$A$11:$B$13,2,0),0)*K239</f>
        <v>0</v>
      </c>
      <c r="O239" s="10">
        <f>IF(I239="Sim",VLOOKUP("Call of Duty Pass",Parâmetros!$A$11:$B$13,2,0),0)*K239</f>
        <v>83.88</v>
      </c>
      <c r="P239" s="10">
        <f>(L239*K239+M239+N239+O239)*IF(F239="Promoção",1-Parâmetros!$B$22,1)</f>
        <v>407.64</v>
      </c>
      <c r="Q239" s="10">
        <f>Parâmetros!$B$20*K239</f>
        <v>144</v>
      </c>
      <c r="R239" s="10">
        <f>P239-Q239</f>
        <v>263.64</v>
      </c>
    </row>
    <row r="240" spans="1:18">
      <c r="A240">
        <v>239</v>
      </c>
      <c r="B240" s="8">
        <v>45990</v>
      </c>
      <c r="C240" t="s">
        <v>8</v>
      </c>
      <c r="D240" t="s">
        <v>46</v>
      </c>
      <c r="E240" t="s">
        <v>51</v>
      </c>
      <c r="F240" t="s">
        <v>54</v>
      </c>
      <c r="G240" t="s">
        <v>43</v>
      </c>
      <c r="H240" t="s">
        <v>44</v>
      </c>
      <c r="I240" t="s">
        <v>44</v>
      </c>
      <c r="J240" t="s">
        <v>49</v>
      </c>
      <c r="K240" s="9">
        <v>27</v>
      </c>
      <c r="L240" s="10">
        <f>IFERROR(VLOOKUP(C240,Parâmetros!$A$5:$D$7,IF(D240="Mensal",2,IF(D240="Trimestral",3,4)),0),0)</f>
        <v>21.99</v>
      </c>
      <c r="M240" s="10">
        <f>IF(G240="Sim",VLOOKUP("EA Play",Parâmetros!$A$11:$B$13,2,0),0)*K240</f>
        <v>134.73000000000002</v>
      </c>
      <c r="N240" s="10">
        <f>IF(H240="Sim",VLOOKUP("Minecraft Pass",Parâmetros!$A$11:$B$13,2,0),0)*K240</f>
        <v>0</v>
      </c>
      <c r="O240" s="10">
        <f>IF(I240="Sim",VLOOKUP("Call of Duty Pass",Parâmetros!$A$11:$B$13,2,0),0)*K240</f>
        <v>0</v>
      </c>
      <c r="P240" s="10">
        <f>(L240*K240+M240+N240+O240)*IF(F240="Promoção",1-Parâmetros!$B$22,1)</f>
        <v>655.61399999999992</v>
      </c>
      <c r="Q240" s="10">
        <f>Parâmetros!$B$20*K240</f>
        <v>324</v>
      </c>
      <c r="R240" s="10">
        <f>P240-Q240</f>
        <v>331.61399999999992</v>
      </c>
    </row>
    <row r="241" spans="1:18">
      <c r="A241">
        <v>240</v>
      </c>
      <c r="B241" s="8">
        <v>45981</v>
      </c>
      <c r="C241" t="s">
        <v>7</v>
      </c>
      <c r="D241" t="s">
        <v>40</v>
      </c>
      <c r="E241" t="s">
        <v>41</v>
      </c>
      <c r="F241" t="s">
        <v>52</v>
      </c>
      <c r="G241" t="s">
        <v>44</v>
      </c>
      <c r="H241" t="s">
        <v>44</v>
      </c>
      <c r="I241" t="s">
        <v>43</v>
      </c>
      <c r="J241" t="s">
        <v>45</v>
      </c>
      <c r="K241" s="9">
        <v>31</v>
      </c>
      <c r="L241" s="10">
        <f>IFERROR(VLOOKUP(C241,Parâmetros!$A$5:$D$7,IF(D241="Mensal",2,IF(D241="Trimestral",3,4)),0),0)</f>
        <v>40</v>
      </c>
      <c r="M241" s="10">
        <f>IF(G241="Sim",VLOOKUP("EA Play",Parâmetros!$A$11:$B$13,2,0),0)*K241</f>
        <v>0</v>
      </c>
      <c r="N241" s="10">
        <f>IF(H241="Sim",VLOOKUP("Minecraft Pass",Parâmetros!$A$11:$B$13,2,0),0)*K241</f>
        <v>0</v>
      </c>
      <c r="O241" s="10">
        <f>IF(I241="Sim",VLOOKUP("Call of Duty Pass",Parâmetros!$A$11:$B$13,2,0),0)*K241</f>
        <v>216.69</v>
      </c>
      <c r="P241" s="10">
        <f>(L241*K241+M241+N241+O241)*IF(F241="Promoção",1-Parâmetros!$B$22,1)</f>
        <v>1456.69</v>
      </c>
      <c r="Q241" s="10">
        <f>Parâmetros!$B$20*K241</f>
        <v>372</v>
      </c>
      <c r="R241" s="10">
        <f>P241-Q241</f>
        <v>1084.69</v>
      </c>
    </row>
    <row r="242" spans="1:18">
      <c r="A242">
        <v>241</v>
      </c>
      <c r="B242" s="8">
        <v>45888</v>
      </c>
      <c r="C242" t="s">
        <v>7</v>
      </c>
      <c r="D242" t="s">
        <v>40</v>
      </c>
      <c r="E242" t="s">
        <v>55</v>
      </c>
      <c r="F242" t="s">
        <v>52</v>
      </c>
      <c r="G242" t="s">
        <v>44</v>
      </c>
      <c r="H242" t="s">
        <v>44</v>
      </c>
      <c r="I242" t="s">
        <v>44</v>
      </c>
      <c r="J242" t="s">
        <v>45</v>
      </c>
      <c r="K242" s="9">
        <v>35</v>
      </c>
      <c r="L242" s="10">
        <f>IFERROR(VLOOKUP(C242,Parâmetros!$A$5:$D$7,IF(D242="Mensal",2,IF(D242="Trimestral",3,4)),0),0)</f>
        <v>40</v>
      </c>
      <c r="M242" s="10">
        <f>IF(G242="Sim",VLOOKUP("EA Play",Parâmetros!$A$11:$B$13,2,0),0)*K242</f>
        <v>0</v>
      </c>
      <c r="N242" s="10">
        <f>IF(H242="Sim",VLOOKUP("Minecraft Pass",Parâmetros!$A$11:$B$13,2,0),0)*K242</f>
        <v>0</v>
      </c>
      <c r="O242" s="10">
        <f>IF(I242="Sim",VLOOKUP("Call of Duty Pass",Parâmetros!$A$11:$B$13,2,0),0)*K242</f>
        <v>0</v>
      </c>
      <c r="P242" s="10">
        <f>(L242*K242+M242+N242+O242)*IF(F242="Promoção",1-Parâmetros!$B$22,1)</f>
        <v>1400</v>
      </c>
      <c r="Q242" s="10">
        <f>Parâmetros!$B$20*K242</f>
        <v>420</v>
      </c>
      <c r="R242" s="10">
        <f>P242-Q242</f>
        <v>980</v>
      </c>
    </row>
    <row r="243" spans="1:18">
      <c r="A243">
        <v>242</v>
      </c>
      <c r="B243" s="8">
        <v>45900</v>
      </c>
      <c r="C243" t="s">
        <v>7</v>
      </c>
      <c r="D243" t="s">
        <v>46</v>
      </c>
      <c r="E243" t="s">
        <v>51</v>
      </c>
      <c r="F243" t="s">
        <v>52</v>
      </c>
      <c r="G243" t="s">
        <v>43</v>
      </c>
      <c r="H243" t="s">
        <v>44</v>
      </c>
      <c r="I243" t="s">
        <v>43</v>
      </c>
      <c r="J243" t="s">
        <v>45</v>
      </c>
      <c r="K243" s="9">
        <v>26</v>
      </c>
      <c r="L243" s="10">
        <f>IFERROR(VLOOKUP(C243,Parâmetros!$A$5:$D$7,IF(D243="Mensal",2,IF(D243="Trimestral",3,4)),0),0)</f>
        <v>14.99</v>
      </c>
      <c r="M243" s="10">
        <f>IF(G243="Sim",VLOOKUP("EA Play",Parâmetros!$A$11:$B$13,2,0),0)*K243</f>
        <v>129.74</v>
      </c>
      <c r="N243" s="10">
        <f>IF(H243="Sim",VLOOKUP("Minecraft Pass",Parâmetros!$A$11:$B$13,2,0),0)*K243</f>
        <v>0</v>
      </c>
      <c r="O243" s="10">
        <f>IF(I243="Sim",VLOOKUP("Call of Duty Pass",Parâmetros!$A$11:$B$13,2,0),0)*K243</f>
        <v>181.74</v>
      </c>
      <c r="P243" s="10">
        <f>(L243*K243+M243+N243+O243)*IF(F243="Promoção",1-Parâmetros!$B$22,1)</f>
        <v>701.22</v>
      </c>
      <c r="Q243" s="10">
        <f>Parâmetros!$B$20*K243</f>
        <v>312</v>
      </c>
      <c r="R243" s="10">
        <f>P243-Q243</f>
        <v>389.22</v>
      </c>
    </row>
    <row r="244" spans="1:18">
      <c r="A244">
        <v>243</v>
      </c>
      <c r="B244" s="8">
        <v>45631</v>
      </c>
      <c r="C244" t="s">
        <v>8</v>
      </c>
      <c r="D244" t="s">
        <v>46</v>
      </c>
      <c r="E244" t="s">
        <v>41</v>
      </c>
      <c r="F244" t="s">
        <v>42</v>
      </c>
      <c r="G244" t="s">
        <v>44</v>
      </c>
      <c r="H244" t="s">
        <v>44</v>
      </c>
      <c r="I244" t="s">
        <v>44</v>
      </c>
      <c r="J244" t="s">
        <v>45</v>
      </c>
      <c r="K244" s="9">
        <v>29</v>
      </c>
      <c r="L244" s="10">
        <f>IFERROR(VLOOKUP(C244,Parâmetros!$A$5:$D$7,IF(D244="Mensal",2,IF(D244="Trimestral",3,4)),0),0)</f>
        <v>21.99</v>
      </c>
      <c r="M244" s="10">
        <f>IF(G244="Sim",VLOOKUP("EA Play",Parâmetros!$A$11:$B$13,2,0),0)*K244</f>
        <v>0</v>
      </c>
      <c r="N244" s="10">
        <f>IF(H244="Sim",VLOOKUP("Minecraft Pass",Parâmetros!$A$11:$B$13,2,0),0)*K244</f>
        <v>0</v>
      </c>
      <c r="O244" s="10">
        <f>IF(I244="Sim",VLOOKUP("Call of Duty Pass",Parâmetros!$A$11:$B$13,2,0),0)*K244</f>
        <v>0</v>
      </c>
      <c r="P244" s="10">
        <f>(L244*K244+M244+N244+O244)*IF(F244="Promoção",1-Parâmetros!$B$22,1)</f>
        <v>637.70999999999992</v>
      </c>
      <c r="Q244" s="10">
        <f>Parâmetros!$B$20*K244</f>
        <v>348</v>
      </c>
      <c r="R244" s="10">
        <f>P244-Q244</f>
        <v>289.70999999999992</v>
      </c>
    </row>
    <row r="245" spans="1:18">
      <c r="A245">
        <v>244</v>
      </c>
      <c r="B245" s="8">
        <v>45675</v>
      </c>
      <c r="C245" t="s">
        <v>6</v>
      </c>
      <c r="D245" t="s">
        <v>40</v>
      </c>
      <c r="E245" t="s">
        <v>47</v>
      </c>
      <c r="F245" t="s">
        <v>48</v>
      </c>
      <c r="G245" t="s">
        <v>43</v>
      </c>
      <c r="H245" t="s">
        <v>43</v>
      </c>
      <c r="I245" t="s">
        <v>43</v>
      </c>
      <c r="J245" t="s">
        <v>49</v>
      </c>
      <c r="K245" s="9">
        <v>6</v>
      </c>
      <c r="L245" s="10">
        <f>IFERROR(VLOOKUP(C245,Parâmetros!$A$5:$D$7,IF(D245="Mensal",2,IF(D245="Trimestral",3,4)),0),0)</f>
        <v>27</v>
      </c>
      <c r="M245" s="10">
        <f>IF(G245="Sim",VLOOKUP("EA Play",Parâmetros!$A$11:$B$13,2,0),0)*K245</f>
        <v>29.94</v>
      </c>
      <c r="N245" s="10">
        <f>IF(H245="Sim",VLOOKUP("Minecraft Pass",Parâmetros!$A$11:$B$13,2,0),0)*K245</f>
        <v>23.94</v>
      </c>
      <c r="O245" s="10">
        <f>IF(I245="Sim",VLOOKUP("Call of Duty Pass",Parâmetros!$A$11:$B$13,2,0),0)*K245</f>
        <v>41.94</v>
      </c>
      <c r="P245" s="10">
        <f>(L245*K245+M245+N245+O245)*IF(F245="Promoção",1-Parâmetros!$B$22,1)</f>
        <v>257.82</v>
      </c>
      <c r="Q245" s="10">
        <f>Parâmetros!$B$20*K245</f>
        <v>72</v>
      </c>
      <c r="R245" s="10">
        <f>P245-Q245</f>
        <v>185.82</v>
      </c>
    </row>
    <row r="246" spans="1:18">
      <c r="A246">
        <v>245</v>
      </c>
      <c r="B246" s="8">
        <v>45410</v>
      </c>
      <c r="C246" t="s">
        <v>8</v>
      </c>
      <c r="D246" t="s">
        <v>40</v>
      </c>
      <c r="E246" t="s">
        <v>41</v>
      </c>
      <c r="F246" t="s">
        <v>42</v>
      </c>
      <c r="G246" t="s">
        <v>44</v>
      </c>
      <c r="H246" t="s">
        <v>44</v>
      </c>
      <c r="I246" t="s">
        <v>44</v>
      </c>
      <c r="J246" t="s">
        <v>49</v>
      </c>
      <c r="K246" s="9">
        <v>29</v>
      </c>
      <c r="L246" s="10">
        <f>IFERROR(VLOOKUP(C246,Parâmetros!$A$5:$D$7,IF(D246="Mensal",2,IF(D246="Trimestral",3,4)),0),0)</f>
        <v>59</v>
      </c>
      <c r="M246" s="10">
        <f>IF(G246="Sim",VLOOKUP("EA Play",Parâmetros!$A$11:$B$13,2,0),0)*K246</f>
        <v>0</v>
      </c>
      <c r="N246" s="10">
        <f>IF(H246="Sim",VLOOKUP("Minecraft Pass",Parâmetros!$A$11:$B$13,2,0),0)*K246</f>
        <v>0</v>
      </c>
      <c r="O246" s="10">
        <f>IF(I246="Sim",VLOOKUP("Call of Duty Pass",Parâmetros!$A$11:$B$13,2,0),0)*K246</f>
        <v>0</v>
      </c>
      <c r="P246" s="10">
        <f>(L246*K246+M246+N246+O246)*IF(F246="Promoção",1-Parâmetros!$B$22,1)</f>
        <v>1711</v>
      </c>
      <c r="Q246" s="10">
        <f>Parâmetros!$B$20*K246</f>
        <v>348</v>
      </c>
      <c r="R246" s="10">
        <f>P246-Q246</f>
        <v>1363</v>
      </c>
    </row>
    <row r="247" spans="1:18">
      <c r="A247">
        <v>246</v>
      </c>
      <c r="B247" s="8">
        <v>45618</v>
      </c>
      <c r="C247" t="s">
        <v>6</v>
      </c>
      <c r="D247" t="s">
        <v>46</v>
      </c>
      <c r="E247" t="s">
        <v>51</v>
      </c>
      <c r="F247" t="s">
        <v>42</v>
      </c>
      <c r="G247" t="s">
        <v>43</v>
      </c>
      <c r="H247" t="s">
        <v>43</v>
      </c>
      <c r="I247" t="s">
        <v>44</v>
      </c>
      <c r="J247" t="s">
        <v>45</v>
      </c>
      <c r="K247" s="9">
        <v>16</v>
      </c>
      <c r="L247" s="10">
        <f>IFERROR(VLOOKUP(C247,Parâmetros!$A$5:$D$7,IF(D247="Mensal",2,IF(D247="Trimestral",3,4)),0),0)</f>
        <v>9.99</v>
      </c>
      <c r="M247" s="10">
        <f>IF(G247="Sim",VLOOKUP("EA Play",Parâmetros!$A$11:$B$13,2,0),0)*K247</f>
        <v>79.84</v>
      </c>
      <c r="N247" s="10">
        <f>IF(H247="Sim",VLOOKUP("Minecraft Pass",Parâmetros!$A$11:$B$13,2,0),0)*K247</f>
        <v>63.84</v>
      </c>
      <c r="O247" s="10">
        <f>IF(I247="Sim",VLOOKUP("Call of Duty Pass",Parâmetros!$A$11:$B$13,2,0),0)*K247</f>
        <v>0</v>
      </c>
      <c r="P247" s="10">
        <f>(L247*K247+M247+N247+O247)*IF(F247="Promoção",1-Parâmetros!$B$22,1)</f>
        <v>303.52</v>
      </c>
      <c r="Q247" s="10">
        <f>Parâmetros!$B$20*K247</f>
        <v>192</v>
      </c>
      <c r="R247" s="10">
        <f>P247-Q247</f>
        <v>111.51999999999998</v>
      </c>
    </row>
    <row r="248" spans="1:18">
      <c r="A248">
        <v>247</v>
      </c>
      <c r="B248" s="8">
        <v>45820</v>
      </c>
      <c r="C248" t="s">
        <v>6</v>
      </c>
      <c r="D248" t="s">
        <v>46</v>
      </c>
      <c r="E248" t="s">
        <v>47</v>
      </c>
      <c r="F248" t="s">
        <v>54</v>
      </c>
      <c r="G248" t="s">
        <v>43</v>
      </c>
      <c r="H248" t="s">
        <v>44</v>
      </c>
      <c r="I248" t="s">
        <v>43</v>
      </c>
      <c r="J248" t="s">
        <v>45</v>
      </c>
      <c r="K248" s="9">
        <v>28</v>
      </c>
      <c r="L248" s="10">
        <f>IFERROR(VLOOKUP(C248,Parâmetros!$A$5:$D$7,IF(D248="Mensal",2,IF(D248="Trimestral",3,4)),0),0)</f>
        <v>9.99</v>
      </c>
      <c r="M248" s="10">
        <f>IF(G248="Sim",VLOOKUP("EA Play",Parâmetros!$A$11:$B$13,2,0),0)*K248</f>
        <v>139.72</v>
      </c>
      <c r="N248" s="10">
        <f>IF(H248="Sim",VLOOKUP("Minecraft Pass",Parâmetros!$A$11:$B$13,2,0),0)*K248</f>
        <v>0</v>
      </c>
      <c r="O248" s="10">
        <f>IF(I248="Sim",VLOOKUP("Call of Duty Pass",Parâmetros!$A$11:$B$13,2,0),0)*K248</f>
        <v>195.72</v>
      </c>
      <c r="P248" s="10">
        <f>(L248*K248+M248+N248+O248)*IF(F248="Promoção",1-Parâmetros!$B$22,1)</f>
        <v>553.64400000000012</v>
      </c>
      <c r="Q248" s="10">
        <f>Parâmetros!$B$20*K248</f>
        <v>336</v>
      </c>
      <c r="R248" s="10">
        <f>P248-Q248</f>
        <v>217.64400000000012</v>
      </c>
    </row>
    <row r="249" spans="1:18">
      <c r="A249">
        <v>248</v>
      </c>
      <c r="B249" s="8">
        <v>45697</v>
      </c>
      <c r="C249" t="s">
        <v>6</v>
      </c>
      <c r="D249" t="s">
        <v>40</v>
      </c>
      <c r="E249" t="s">
        <v>41</v>
      </c>
      <c r="F249" t="s">
        <v>48</v>
      </c>
      <c r="G249" t="s">
        <v>43</v>
      </c>
      <c r="H249" t="s">
        <v>44</v>
      </c>
      <c r="I249" t="s">
        <v>43</v>
      </c>
      <c r="J249" t="s">
        <v>45</v>
      </c>
      <c r="K249" s="9">
        <v>5</v>
      </c>
      <c r="L249" s="10">
        <f>IFERROR(VLOOKUP(C249,Parâmetros!$A$5:$D$7,IF(D249="Mensal",2,IF(D249="Trimestral",3,4)),0),0)</f>
        <v>27</v>
      </c>
      <c r="M249" s="10">
        <f>IF(G249="Sim",VLOOKUP("EA Play",Parâmetros!$A$11:$B$13,2,0),0)*K249</f>
        <v>24.950000000000003</v>
      </c>
      <c r="N249" s="10">
        <f>IF(H249="Sim",VLOOKUP("Minecraft Pass",Parâmetros!$A$11:$B$13,2,0),0)*K249</f>
        <v>0</v>
      </c>
      <c r="O249" s="10">
        <f>IF(I249="Sim",VLOOKUP("Call of Duty Pass",Parâmetros!$A$11:$B$13,2,0),0)*K249</f>
        <v>34.950000000000003</v>
      </c>
      <c r="P249" s="10">
        <f>(L249*K249+M249+N249+O249)*IF(F249="Promoção",1-Parâmetros!$B$22,1)</f>
        <v>194.89999999999998</v>
      </c>
      <c r="Q249" s="10">
        <f>Parâmetros!$B$20*K249</f>
        <v>60</v>
      </c>
      <c r="R249" s="10">
        <f>P249-Q249</f>
        <v>134.89999999999998</v>
      </c>
    </row>
    <row r="250" spans="1:18">
      <c r="A250">
        <v>249</v>
      </c>
      <c r="B250" s="8">
        <v>45883</v>
      </c>
      <c r="C250" t="s">
        <v>6</v>
      </c>
      <c r="D250" t="s">
        <v>50</v>
      </c>
      <c r="E250" t="s">
        <v>41</v>
      </c>
      <c r="F250" t="s">
        <v>42</v>
      </c>
      <c r="G250" t="s">
        <v>44</v>
      </c>
      <c r="H250" t="s">
        <v>43</v>
      </c>
      <c r="I250" t="s">
        <v>44</v>
      </c>
      <c r="J250" t="s">
        <v>49</v>
      </c>
      <c r="K250" s="9">
        <v>21</v>
      </c>
      <c r="L250" s="10">
        <f>IFERROR(VLOOKUP(C250,Parâmetros!$A$5:$D$7,IF(D250="Mensal",2,IF(D250="Trimestral",3,4)),0),0)</f>
        <v>99</v>
      </c>
      <c r="M250" s="10">
        <f>IF(G250="Sim",VLOOKUP("EA Play",Parâmetros!$A$11:$B$13,2,0),0)*K250</f>
        <v>0</v>
      </c>
      <c r="N250" s="10">
        <f>IF(H250="Sim",VLOOKUP("Minecraft Pass",Parâmetros!$A$11:$B$13,2,0),0)*K250</f>
        <v>83.79</v>
      </c>
      <c r="O250" s="10">
        <f>IF(I250="Sim",VLOOKUP("Call of Duty Pass",Parâmetros!$A$11:$B$13,2,0),0)*K250</f>
        <v>0</v>
      </c>
      <c r="P250" s="10">
        <f>(L250*K250+M250+N250+O250)*IF(F250="Promoção",1-Parâmetros!$B$22,1)</f>
        <v>2162.79</v>
      </c>
      <c r="Q250" s="10">
        <f>Parâmetros!$B$20*K250</f>
        <v>252</v>
      </c>
      <c r="R250" s="10">
        <f>P250-Q250</f>
        <v>1910.79</v>
      </c>
    </row>
    <row r="251" spans="1:18">
      <c r="A251">
        <v>250</v>
      </c>
      <c r="B251" s="8">
        <v>45903</v>
      </c>
      <c r="C251" t="s">
        <v>6</v>
      </c>
      <c r="D251" t="s">
        <v>46</v>
      </c>
      <c r="E251" t="s">
        <v>41</v>
      </c>
      <c r="F251" t="s">
        <v>42</v>
      </c>
      <c r="G251" t="s">
        <v>44</v>
      </c>
      <c r="H251" t="s">
        <v>43</v>
      </c>
      <c r="I251" t="s">
        <v>44</v>
      </c>
      <c r="J251" t="s">
        <v>45</v>
      </c>
      <c r="K251" s="9">
        <v>6</v>
      </c>
      <c r="L251" s="10">
        <f>IFERROR(VLOOKUP(C251,Parâmetros!$A$5:$D$7,IF(D251="Mensal",2,IF(D251="Trimestral",3,4)),0),0)</f>
        <v>9.99</v>
      </c>
      <c r="M251" s="10">
        <f>IF(G251="Sim",VLOOKUP("EA Play",Parâmetros!$A$11:$B$13,2,0),0)*K251</f>
        <v>0</v>
      </c>
      <c r="N251" s="10">
        <f>IF(H251="Sim",VLOOKUP("Minecraft Pass",Parâmetros!$A$11:$B$13,2,0),0)*K251</f>
        <v>23.94</v>
      </c>
      <c r="O251" s="10">
        <f>IF(I251="Sim",VLOOKUP("Call of Duty Pass",Parâmetros!$A$11:$B$13,2,0),0)*K251</f>
        <v>0</v>
      </c>
      <c r="P251" s="10">
        <f>(L251*K251+M251+N251+O251)*IF(F251="Promoção",1-Parâmetros!$B$22,1)</f>
        <v>83.88</v>
      </c>
      <c r="Q251" s="10">
        <f>Parâmetros!$B$20*K251</f>
        <v>72</v>
      </c>
      <c r="R251" s="10">
        <f>P251-Q251</f>
        <v>11.879999999999995</v>
      </c>
    </row>
    <row r="252" spans="1:18">
      <c r="A252">
        <v>251</v>
      </c>
      <c r="B252" s="8">
        <v>45980</v>
      </c>
      <c r="C252" t="s">
        <v>6</v>
      </c>
      <c r="D252" t="s">
        <v>46</v>
      </c>
      <c r="E252" t="s">
        <v>41</v>
      </c>
      <c r="F252" t="s">
        <v>42</v>
      </c>
      <c r="G252" t="s">
        <v>44</v>
      </c>
      <c r="H252" t="s">
        <v>44</v>
      </c>
      <c r="I252" t="s">
        <v>44</v>
      </c>
      <c r="J252" t="s">
        <v>49</v>
      </c>
      <c r="K252" s="9">
        <v>25</v>
      </c>
      <c r="L252" s="10">
        <f>IFERROR(VLOOKUP(C252,Parâmetros!$A$5:$D$7,IF(D252="Mensal",2,IF(D252="Trimestral",3,4)),0),0)</f>
        <v>9.99</v>
      </c>
      <c r="M252" s="10">
        <f>IF(G252="Sim",VLOOKUP("EA Play",Parâmetros!$A$11:$B$13,2,0),0)*K252</f>
        <v>0</v>
      </c>
      <c r="N252" s="10">
        <f>IF(H252="Sim",VLOOKUP("Minecraft Pass",Parâmetros!$A$11:$B$13,2,0),0)*K252</f>
        <v>0</v>
      </c>
      <c r="O252" s="10">
        <f>IF(I252="Sim",VLOOKUP("Call of Duty Pass",Parâmetros!$A$11:$B$13,2,0),0)*K252</f>
        <v>0</v>
      </c>
      <c r="P252" s="10">
        <f>(L252*K252+M252+N252+O252)*IF(F252="Promoção",1-Parâmetros!$B$22,1)</f>
        <v>249.75</v>
      </c>
      <c r="Q252" s="10">
        <f>Parâmetros!$B$20*K252</f>
        <v>300</v>
      </c>
      <c r="R252" s="10">
        <f>P252-Q252</f>
        <v>-50.25</v>
      </c>
    </row>
    <row r="253" spans="1:18">
      <c r="A253">
        <v>252</v>
      </c>
      <c r="B253" s="8">
        <v>45725</v>
      </c>
      <c r="C253" t="s">
        <v>6</v>
      </c>
      <c r="D253" t="s">
        <v>40</v>
      </c>
      <c r="E253" t="s">
        <v>51</v>
      </c>
      <c r="F253" t="s">
        <v>52</v>
      </c>
      <c r="G253" t="s">
        <v>44</v>
      </c>
      <c r="H253" t="s">
        <v>44</v>
      </c>
      <c r="I253" t="s">
        <v>44</v>
      </c>
      <c r="J253" t="s">
        <v>49</v>
      </c>
      <c r="K253" s="9">
        <v>21</v>
      </c>
      <c r="L253" s="10">
        <f>IFERROR(VLOOKUP(C253,Parâmetros!$A$5:$D$7,IF(D253="Mensal",2,IF(D253="Trimestral",3,4)),0),0)</f>
        <v>27</v>
      </c>
      <c r="M253" s="10">
        <f>IF(G253="Sim",VLOOKUP("EA Play",Parâmetros!$A$11:$B$13,2,0),0)*K253</f>
        <v>0</v>
      </c>
      <c r="N253" s="10">
        <f>IF(H253="Sim",VLOOKUP("Minecraft Pass",Parâmetros!$A$11:$B$13,2,0),0)*K253</f>
        <v>0</v>
      </c>
      <c r="O253" s="10">
        <f>IF(I253="Sim",VLOOKUP("Call of Duty Pass",Parâmetros!$A$11:$B$13,2,0),0)*K253</f>
        <v>0</v>
      </c>
      <c r="P253" s="10">
        <f>(L253*K253+M253+N253+O253)*IF(F253="Promoção",1-Parâmetros!$B$22,1)</f>
        <v>567</v>
      </c>
      <c r="Q253" s="10">
        <f>Parâmetros!$B$20*K253</f>
        <v>252</v>
      </c>
      <c r="R253" s="10">
        <f>P253-Q253</f>
        <v>315</v>
      </c>
    </row>
    <row r="254" spans="1:18">
      <c r="A254">
        <v>253</v>
      </c>
      <c r="B254" s="8">
        <v>45753</v>
      </c>
      <c r="C254" t="s">
        <v>7</v>
      </c>
      <c r="D254" t="s">
        <v>50</v>
      </c>
      <c r="E254" t="s">
        <v>53</v>
      </c>
      <c r="F254" t="s">
        <v>48</v>
      </c>
      <c r="G254" t="s">
        <v>43</v>
      </c>
      <c r="H254" t="s">
        <v>43</v>
      </c>
      <c r="I254" t="s">
        <v>44</v>
      </c>
      <c r="J254" t="s">
        <v>45</v>
      </c>
      <c r="K254" s="9">
        <v>27</v>
      </c>
      <c r="L254" s="10">
        <f>IFERROR(VLOOKUP(C254,Parâmetros!$A$5:$D$7,IF(D254="Mensal",2,IF(D254="Trimestral",3,4)),0),0)</f>
        <v>149</v>
      </c>
      <c r="M254" s="10">
        <f>IF(G254="Sim",VLOOKUP("EA Play",Parâmetros!$A$11:$B$13,2,0),0)*K254</f>
        <v>134.73000000000002</v>
      </c>
      <c r="N254" s="10">
        <f>IF(H254="Sim",VLOOKUP("Minecraft Pass",Parâmetros!$A$11:$B$13,2,0),0)*K254</f>
        <v>107.73</v>
      </c>
      <c r="O254" s="10">
        <f>IF(I254="Sim",VLOOKUP("Call of Duty Pass",Parâmetros!$A$11:$B$13,2,0),0)*K254</f>
        <v>0</v>
      </c>
      <c r="P254" s="10">
        <f>(L254*K254+M254+N254+O254)*IF(F254="Promoção",1-Parâmetros!$B$22,1)</f>
        <v>4265.4599999999991</v>
      </c>
      <c r="Q254" s="10">
        <f>Parâmetros!$B$20*K254</f>
        <v>324</v>
      </c>
      <c r="R254" s="10">
        <f>P254-Q254</f>
        <v>3941.4599999999991</v>
      </c>
    </row>
    <row r="255" spans="1:18">
      <c r="A255">
        <v>254</v>
      </c>
      <c r="B255" s="8">
        <v>45993</v>
      </c>
      <c r="C255" t="s">
        <v>7</v>
      </c>
      <c r="D255" t="s">
        <v>40</v>
      </c>
      <c r="E255" t="s">
        <v>47</v>
      </c>
      <c r="F255" t="s">
        <v>42</v>
      </c>
      <c r="G255" t="s">
        <v>44</v>
      </c>
      <c r="H255" t="s">
        <v>44</v>
      </c>
      <c r="I255" t="s">
        <v>43</v>
      </c>
      <c r="J255" t="s">
        <v>49</v>
      </c>
      <c r="K255" s="9">
        <v>15</v>
      </c>
      <c r="L255" s="10">
        <f>IFERROR(VLOOKUP(C255,Parâmetros!$A$5:$D$7,IF(D255="Mensal",2,IF(D255="Trimestral",3,4)),0),0)</f>
        <v>40</v>
      </c>
      <c r="M255" s="10">
        <f>IF(G255="Sim",VLOOKUP("EA Play",Parâmetros!$A$11:$B$13,2,0),0)*K255</f>
        <v>0</v>
      </c>
      <c r="N255" s="10">
        <f>IF(H255="Sim",VLOOKUP("Minecraft Pass",Parâmetros!$A$11:$B$13,2,0),0)*K255</f>
        <v>0</v>
      </c>
      <c r="O255" s="10">
        <f>IF(I255="Sim",VLOOKUP("Call of Duty Pass",Parâmetros!$A$11:$B$13,2,0),0)*K255</f>
        <v>104.85000000000001</v>
      </c>
      <c r="P255" s="10">
        <f>(L255*K255+M255+N255+O255)*IF(F255="Promoção",1-Parâmetros!$B$22,1)</f>
        <v>704.85</v>
      </c>
      <c r="Q255" s="10">
        <f>Parâmetros!$B$20*K255</f>
        <v>180</v>
      </c>
      <c r="R255" s="10">
        <f>P255-Q255</f>
        <v>524.85</v>
      </c>
    </row>
    <row r="256" spans="1:18">
      <c r="A256">
        <v>255</v>
      </c>
      <c r="B256" s="8">
        <v>45842</v>
      </c>
      <c r="C256" t="s">
        <v>6</v>
      </c>
      <c r="D256" t="s">
        <v>40</v>
      </c>
      <c r="E256" t="s">
        <v>47</v>
      </c>
      <c r="F256" t="s">
        <v>52</v>
      </c>
      <c r="G256" t="s">
        <v>44</v>
      </c>
      <c r="H256" t="s">
        <v>44</v>
      </c>
      <c r="I256" t="s">
        <v>44</v>
      </c>
      <c r="J256" t="s">
        <v>49</v>
      </c>
      <c r="K256" s="9">
        <v>35</v>
      </c>
      <c r="L256" s="10">
        <f>IFERROR(VLOOKUP(C256,Parâmetros!$A$5:$D$7,IF(D256="Mensal",2,IF(D256="Trimestral",3,4)),0),0)</f>
        <v>27</v>
      </c>
      <c r="M256" s="10">
        <f>IF(G256="Sim",VLOOKUP("EA Play",Parâmetros!$A$11:$B$13,2,0),0)*K256</f>
        <v>0</v>
      </c>
      <c r="N256" s="10">
        <f>IF(H256="Sim",VLOOKUP("Minecraft Pass",Parâmetros!$A$11:$B$13,2,0),0)*K256</f>
        <v>0</v>
      </c>
      <c r="O256" s="10">
        <f>IF(I256="Sim",VLOOKUP("Call of Duty Pass",Parâmetros!$A$11:$B$13,2,0),0)*K256</f>
        <v>0</v>
      </c>
      <c r="P256" s="10">
        <f>(L256*K256+M256+N256+O256)*IF(F256="Promoção",1-Parâmetros!$B$22,1)</f>
        <v>945</v>
      </c>
      <c r="Q256" s="10">
        <f>Parâmetros!$B$20*K256</f>
        <v>420</v>
      </c>
      <c r="R256" s="10">
        <f>P256-Q256</f>
        <v>525</v>
      </c>
    </row>
    <row r="257" spans="1:18">
      <c r="A257">
        <v>256</v>
      </c>
      <c r="B257" s="8">
        <v>45667</v>
      </c>
      <c r="C257" t="s">
        <v>7</v>
      </c>
      <c r="D257" t="s">
        <v>40</v>
      </c>
      <c r="E257" t="s">
        <v>51</v>
      </c>
      <c r="F257" t="s">
        <v>48</v>
      </c>
      <c r="G257" t="s">
        <v>43</v>
      </c>
      <c r="H257" t="s">
        <v>44</v>
      </c>
      <c r="I257" t="s">
        <v>44</v>
      </c>
      <c r="J257" t="s">
        <v>45</v>
      </c>
      <c r="K257" s="9">
        <v>16</v>
      </c>
      <c r="L257" s="10">
        <f>IFERROR(VLOOKUP(C257,Parâmetros!$A$5:$D$7,IF(D257="Mensal",2,IF(D257="Trimestral",3,4)),0),0)</f>
        <v>40</v>
      </c>
      <c r="M257" s="10">
        <f>IF(G257="Sim",VLOOKUP("EA Play",Parâmetros!$A$11:$B$13,2,0),0)*K257</f>
        <v>79.84</v>
      </c>
      <c r="N257" s="10">
        <f>IF(H257="Sim",VLOOKUP("Minecraft Pass",Parâmetros!$A$11:$B$13,2,0),0)*K257</f>
        <v>0</v>
      </c>
      <c r="O257" s="10">
        <f>IF(I257="Sim",VLOOKUP("Call of Duty Pass",Parâmetros!$A$11:$B$13,2,0),0)*K257</f>
        <v>0</v>
      </c>
      <c r="P257" s="10">
        <f>(L257*K257+M257+N257+O257)*IF(F257="Promoção",1-Parâmetros!$B$22,1)</f>
        <v>719.84</v>
      </c>
      <c r="Q257" s="10">
        <f>Parâmetros!$B$20*K257</f>
        <v>192</v>
      </c>
      <c r="R257" s="10">
        <f>P257-Q257</f>
        <v>527.84</v>
      </c>
    </row>
    <row r="258" spans="1:18">
      <c r="A258">
        <v>257</v>
      </c>
      <c r="B258" s="8">
        <v>45596</v>
      </c>
      <c r="C258" t="s">
        <v>8</v>
      </c>
      <c r="D258" t="s">
        <v>46</v>
      </c>
      <c r="E258" t="s">
        <v>41</v>
      </c>
      <c r="F258" t="s">
        <v>54</v>
      </c>
      <c r="G258" t="s">
        <v>43</v>
      </c>
      <c r="H258" t="s">
        <v>44</v>
      </c>
      <c r="I258" t="s">
        <v>43</v>
      </c>
      <c r="J258" t="s">
        <v>45</v>
      </c>
      <c r="K258" s="9">
        <v>14</v>
      </c>
      <c r="L258" s="10">
        <f>IFERROR(VLOOKUP(C258,Parâmetros!$A$5:$D$7,IF(D258="Mensal",2,IF(D258="Trimestral",3,4)),0),0)</f>
        <v>21.99</v>
      </c>
      <c r="M258" s="10">
        <f>IF(G258="Sim",VLOOKUP("EA Play",Parâmetros!$A$11:$B$13,2,0),0)*K258</f>
        <v>69.86</v>
      </c>
      <c r="N258" s="10">
        <f>IF(H258="Sim",VLOOKUP("Minecraft Pass",Parâmetros!$A$11:$B$13,2,0),0)*K258</f>
        <v>0</v>
      </c>
      <c r="O258" s="10">
        <f>IF(I258="Sim",VLOOKUP("Call of Duty Pass",Parâmetros!$A$11:$B$13,2,0),0)*K258</f>
        <v>97.86</v>
      </c>
      <c r="P258" s="10">
        <f>(L258*K258+M258+N258+O258)*IF(F258="Promoção",1-Parâmetros!$B$22,1)</f>
        <v>428.02199999999999</v>
      </c>
      <c r="Q258" s="10">
        <f>Parâmetros!$B$20*K258</f>
        <v>168</v>
      </c>
      <c r="R258" s="10">
        <f>P258-Q258</f>
        <v>260.02199999999999</v>
      </c>
    </row>
    <row r="259" spans="1:18">
      <c r="A259">
        <v>258</v>
      </c>
      <c r="B259" s="8">
        <v>45894</v>
      </c>
      <c r="C259" t="s">
        <v>7</v>
      </c>
      <c r="D259" t="s">
        <v>50</v>
      </c>
      <c r="E259" t="s">
        <v>47</v>
      </c>
      <c r="F259" t="s">
        <v>48</v>
      </c>
      <c r="G259" t="s">
        <v>44</v>
      </c>
      <c r="H259" t="s">
        <v>44</v>
      </c>
      <c r="I259" t="s">
        <v>44</v>
      </c>
      <c r="J259" t="s">
        <v>45</v>
      </c>
      <c r="K259" s="9">
        <v>23</v>
      </c>
      <c r="L259" s="10">
        <f>IFERROR(VLOOKUP(C259,Parâmetros!$A$5:$D$7,IF(D259="Mensal",2,IF(D259="Trimestral",3,4)),0),0)</f>
        <v>149</v>
      </c>
      <c r="M259" s="10">
        <f>IF(G259="Sim",VLOOKUP("EA Play",Parâmetros!$A$11:$B$13,2,0),0)*K259</f>
        <v>0</v>
      </c>
      <c r="N259" s="10">
        <f>IF(H259="Sim",VLOOKUP("Minecraft Pass",Parâmetros!$A$11:$B$13,2,0),0)*K259</f>
        <v>0</v>
      </c>
      <c r="O259" s="10">
        <f>IF(I259="Sim",VLOOKUP("Call of Duty Pass",Parâmetros!$A$11:$B$13,2,0),0)*K259</f>
        <v>0</v>
      </c>
      <c r="P259" s="10">
        <f>(L259*K259+M259+N259+O259)*IF(F259="Promoção",1-Parâmetros!$B$22,1)</f>
        <v>3427</v>
      </c>
      <c r="Q259" s="10">
        <f>Parâmetros!$B$20*K259</f>
        <v>276</v>
      </c>
      <c r="R259" s="10">
        <f>P259-Q259</f>
        <v>3151</v>
      </c>
    </row>
    <row r="260" spans="1:18">
      <c r="A260">
        <v>259</v>
      </c>
      <c r="B260" s="8">
        <v>45837</v>
      </c>
      <c r="C260" t="s">
        <v>6</v>
      </c>
      <c r="D260" t="s">
        <v>40</v>
      </c>
      <c r="E260" t="s">
        <v>41</v>
      </c>
      <c r="F260" t="s">
        <v>52</v>
      </c>
      <c r="G260" t="s">
        <v>43</v>
      </c>
      <c r="H260" t="s">
        <v>43</v>
      </c>
      <c r="I260" t="s">
        <v>44</v>
      </c>
      <c r="J260" t="s">
        <v>45</v>
      </c>
      <c r="K260" s="9">
        <v>7</v>
      </c>
      <c r="L260" s="10">
        <f>IFERROR(VLOOKUP(C260,Parâmetros!$A$5:$D$7,IF(D260="Mensal",2,IF(D260="Trimestral",3,4)),0),0)</f>
        <v>27</v>
      </c>
      <c r="M260" s="10">
        <f>IF(G260="Sim",VLOOKUP("EA Play",Parâmetros!$A$11:$B$13,2,0),0)*K260</f>
        <v>34.93</v>
      </c>
      <c r="N260" s="10">
        <f>IF(H260="Sim",VLOOKUP("Minecraft Pass",Parâmetros!$A$11:$B$13,2,0),0)*K260</f>
        <v>27.93</v>
      </c>
      <c r="O260" s="10">
        <f>IF(I260="Sim",VLOOKUP("Call of Duty Pass",Parâmetros!$A$11:$B$13,2,0),0)*K260</f>
        <v>0</v>
      </c>
      <c r="P260" s="10">
        <f>(L260*K260+M260+N260+O260)*IF(F260="Promoção",1-Parâmetros!$B$22,1)</f>
        <v>251.86</v>
      </c>
      <c r="Q260" s="10">
        <f>Parâmetros!$B$20*K260</f>
        <v>84</v>
      </c>
      <c r="R260" s="10">
        <f>P260-Q260</f>
        <v>167.86</v>
      </c>
    </row>
    <row r="261" spans="1:18">
      <c r="A261">
        <v>260</v>
      </c>
      <c r="B261" s="8">
        <v>45430</v>
      </c>
      <c r="C261" t="s">
        <v>8</v>
      </c>
      <c r="D261" t="s">
        <v>40</v>
      </c>
      <c r="E261" t="s">
        <v>55</v>
      </c>
      <c r="F261" t="s">
        <v>54</v>
      </c>
      <c r="G261" t="s">
        <v>44</v>
      </c>
      <c r="H261" t="s">
        <v>43</v>
      </c>
      <c r="I261" t="s">
        <v>44</v>
      </c>
      <c r="J261" t="s">
        <v>49</v>
      </c>
      <c r="K261" s="9">
        <v>21</v>
      </c>
      <c r="L261" s="10">
        <f>IFERROR(VLOOKUP(C261,Parâmetros!$A$5:$D$7,IF(D261="Mensal",2,IF(D261="Trimestral",3,4)),0),0)</f>
        <v>59</v>
      </c>
      <c r="M261" s="10">
        <f>IF(G261="Sim",VLOOKUP("EA Play",Parâmetros!$A$11:$B$13,2,0),0)*K261</f>
        <v>0</v>
      </c>
      <c r="N261" s="10">
        <f>IF(H261="Sim",VLOOKUP("Minecraft Pass",Parâmetros!$A$11:$B$13,2,0),0)*K261</f>
        <v>83.79</v>
      </c>
      <c r="O261" s="10">
        <f>IF(I261="Sim",VLOOKUP("Call of Duty Pass",Parâmetros!$A$11:$B$13,2,0),0)*K261</f>
        <v>0</v>
      </c>
      <c r="P261" s="10">
        <f>(L261*K261+M261+N261+O261)*IF(F261="Promoção",1-Parâmetros!$B$22,1)</f>
        <v>1190.511</v>
      </c>
      <c r="Q261" s="10">
        <f>Parâmetros!$B$20*K261</f>
        <v>252</v>
      </c>
      <c r="R261" s="10">
        <f>P261-Q261</f>
        <v>938.51099999999997</v>
      </c>
    </row>
    <row r="262" spans="1:18">
      <c r="A262">
        <v>261</v>
      </c>
      <c r="B262" s="8">
        <v>45545</v>
      </c>
      <c r="C262" t="s">
        <v>8</v>
      </c>
      <c r="D262" t="s">
        <v>40</v>
      </c>
      <c r="E262" t="s">
        <v>47</v>
      </c>
      <c r="F262" t="s">
        <v>48</v>
      </c>
      <c r="G262" t="s">
        <v>43</v>
      </c>
      <c r="H262" t="s">
        <v>44</v>
      </c>
      <c r="I262" t="s">
        <v>44</v>
      </c>
      <c r="J262" t="s">
        <v>45</v>
      </c>
      <c r="K262" s="9">
        <v>6</v>
      </c>
      <c r="L262" s="10">
        <f>IFERROR(VLOOKUP(C262,Parâmetros!$A$5:$D$7,IF(D262="Mensal",2,IF(D262="Trimestral",3,4)),0),0)</f>
        <v>59</v>
      </c>
      <c r="M262" s="10">
        <f>IF(G262="Sim",VLOOKUP("EA Play",Parâmetros!$A$11:$B$13,2,0),0)*K262</f>
        <v>29.94</v>
      </c>
      <c r="N262" s="10">
        <f>IF(H262="Sim",VLOOKUP("Minecraft Pass",Parâmetros!$A$11:$B$13,2,0),0)*K262</f>
        <v>0</v>
      </c>
      <c r="O262" s="10">
        <f>IF(I262="Sim",VLOOKUP("Call of Duty Pass",Parâmetros!$A$11:$B$13,2,0),0)*K262</f>
        <v>0</v>
      </c>
      <c r="P262" s="10">
        <f>(L262*K262+M262+N262+O262)*IF(F262="Promoção",1-Parâmetros!$B$22,1)</f>
        <v>383.94</v>
      </c>
      <c r="Q262" s="10">
        <f>Parâmetros!$B$20*K262</f>
        <v>72</v>
      </c>
      <c r="R262" s="10">
        <f>P262-Q262</f>
        <v>311.94</v>
      </c>
    </row>
    <row r="263" spans="1:18">
      <c r="A263">
        <v>262</v>
      </c>
      <c r="B263" s="8">
        <v>45704</v>
      </c>
      <c r="C263" t="s">
        <v>7</v>
      </c>
      <c r="D263" t="s">
        <v>46</v>
      </c>
      <c r="E263" t="s">
        <v>55</v>
      </c>
      <c r="F263" t="s">
        <v>42</v>
      </c>
      <c r="G263" t="s">
        <v>44</v>
      </c>
      <c r="H263" t="s">
        <v>43</v>
      </c>
      <c r="I263" t="s">
        <v>43</v>
      </c>
      <c r="J263" t="s">
        <v>45</v>
      </c>
      <c r="K263" s="9">
        <v>6</v>
      </c>
      <c r="L263" s="10">
        <f>IFERROR(VLOOKUP(C263,Parâmetros!$A$5:$D$7,IF(D263="Mensal",2,IF(D263="Trimestral",3,4)),0),0)</f>
        <v>14.99</v>
      </c>
      <c r="M263" s="10">
        <f>IF(G263="Sim",VLOOKUP("EA Play",Parâmetros!$A$11:$B$13,2,0),0)*K263</f>
        <v>0</v>
      </c>
      <c r="N263" s="10">
        <f>IF(H263="Sim",VLOOKUP("Minecraft Pass",Parâmetros!$A$11:$B$13,2,0),0)*K263</f>
        <v>23.94</v>
      </c>
      <c r="O263" s="10">
        <f>IF(I263="Sim",VLOOKUP("Call of Duty Pass",Parâmetros!$A$11:$B$13,2,0),0)*K263</f>
        <v>41.94</v>
      </c>
      <c r="P263" s="10">
        <f>(L263*K263+M263+N263+O263)*IF(F263="Promoção",1-Parâmetros!$B$22,1)</f>
        <v>155.82</v>
      </c>
      <c r="Q263" s="10">
        <f>Parâmetros!$B$20*K263</f>
        <v>72</v>
      </c>
      <c r="R263" s="10">
        <f>P263-Q263</f>
        <v>83.82</v>
      </c>
    </row>
    <row r="264" spans="1:18">
      <c r="A264">
        <v>263</v>
      </c>
      <c r="B264" s="8">
        <v>45761</v>
      </c>
      <c r="C264" t="s">
        <v>7</v>
      </c>
      <c r="D264" t="s">
        <v>40</v>
      </c>
      <c r="E264" t="s">
        <v>55</v>
      </c>
      <c r="F264" t="s">
        <v>52</v>
      </c>
      <c r="G264" t="s">
        <v>43</v>
      </c>
      <c r="H264" t="s">
        <v>44</v>
      </c>
      <c r="I264" t="s">
        <v>44</v>
      </c>
      <c r="J264" t="s">
        <v>49</v>
      </c>
      <c r="K264" s="9">
        <v>21</v>
      </c>
      <c r="L264" s="10">
        <f>IFERROR(VLOOKUP(C264,Parâmetros!$A$5:$D$7,IF(D264="Mensal",2,IF(D264="Trimestral",3,4)),0),0)</f>
        <v>40</v>
      </c>
      <c r="M264" s="10">
        <f>IF(G264="Sim",VLOOKUP("EA Play",Parâmetros!$A$11:$B$13,2,0),0)*K264</f>
        <v>104.79</v>
      </c>
      <c r="N264" s="10">
        <f>IF(H264="Sim",VLOOKUP("Minecraft Pass",Parâmetros!$A$11:$B$13,2,0),0)*K264</f>
        <v>0</v>
      </c>
      <c r="O264" s="10">
        <f>IF(I264="Sim",VLOOKUP("Call of Duty Pass",Parâmetros!$A$11:$B$13,2,0),0)*K264</f>
        <v>0</v>
      </c>
      <c r="P264" s="10">
        <f>(L264*K264+M264+N264+O264)*IF(F264="Promoção",1-Parâmetros!$B$22,1)</f>
        <v>944.79</v>
      </c>
      <c r="Q264" s="10">
        <f>Parâmetros!$B$20*K264</f>
        <v>252</v>
      </c>
      <c r="R264" s="10">
        <f>P264-Q264</f>
        <v>692.79</v>
      </c>
    </row>
    <row r="265" spans="1:18">
      <c r="A265">
        <v>264</v>
      </c>
      <c r="B265" s="8">
        <v>45582</v>
      </c>
      <c r="C265" t="s">
        <v>6</v>
      </c>
      <c r="D265" t="s">
        <v>40</v>
      </c>
      <c r="E265" t="s">
        <v>47</v>
      </c>
      <c r="F265" t="s">
        <v>48</v>
      </c>
      <c r="G265" t="s">
        <v>43</v>
      </c>
      <c r="H265" t="s">
        <v>44</v>
      </c>
      <c r="I265" t="s">
        <v>43</v>
      </c>
      <c r="J265" t="s">
        <v>49</v>
      </c>
      <c r="K265" s="9">
        <v>30</v>
      </c>
      <c r="L265" s="10">
        <f>IFERROR(VLOOKUP(C265,Parâmetros!$A$5:$D$7,IF(D265="Mensal",2,IF(D265="Trimestral",3,4)),0),0)</f>
        <v>27</v>
      </c>
      <c r="M265" s="10">
        <f>IF(G265="Sim",VLOOKUP("EA Play",Parâmetros!$A$11:$B$13,2,0),0)*K265</f>
        <v>149.70000000000002</v>
      </c>
      <c r="N265" s="10">
        <f>IF(H265="Sim",VLOOKUP("Minecraft Pass",Parâmetros!$A$11:$B$13,2,0),0)*K265</f>
        <v>0</v>
      </c>
      <c r="O265" s="10">
        <f>IF(I265="Sim",VLOOKUP("Call of Duty Pass",Parâmetros!$A$11:$B$13,2,0),0)*K265</f>
        <v>209.70000000000002</v>
      </c>
      <c r="P265" s="10">
        <f>(L265*K265+M265+N265+O265)*IF(F265="Promoção",1-Parâmetros!$B$22,1)</f>
        <v>1169.4000000000001</v>
      </c>
      <c r="Q265" s="10">
        <f>Parâmetros!$B$20*K265</f>
        <v>360</v>
      </c>
      <c r="R265" s="10">
        <f>P265-Q265</f>
        <v>809.40000000000009</v>
      </c>
    </row>
    <row r="266" spans="1:18">
      <c r="A266">
        <v>265</v>
      </c>
      <c r="B266" s="8">
        <v>45308</v>
      </c>
      <c r="C266" t="s">
        <v>6</v>
      </c>
      <c r="D266" t="s">
        <v>50</v>
      </c>
      <c r="E266" t="s">
        <v>47</v>
      </c>
      <c r="F266" t="s">
        <v>42</v>
      </c>
      <c r="G266" t="s">
        <v>44</v>
      </c>
      <c r="H266" t="s">
        <v>43</v>
      </c>
      <c r="I266" t="s">
        <v>44</v>
      </c>
      <c r="J266" t="s">
        <v>49</v>
      </c>
      <c r="K266" s="9">
        <v>20</v>
      </c>
      <c r="L266" s="10">
        <f>IFERROR(VLOOKUP(C266,Parâmetros!$A$5:$D$7,IF(D266="Mensal",2,IF(D266="Trimestral",3,4)),0),0)</f>
        <v>99</v>
      </c>
      <c r="M266" s="10">
        <f>IF(G266="Sim",VLOOKUP("EA Play",Parâmetros!$A$11:$B$13,2,0),0)*K266</f>
        <v>0</v>
      </c>
      <c r="N266" s="10">
        <f>IF(H266="Sim",VLOOKUP("Minecraft Pass",Parâmetros!$A$11:$B$13,2,0),0)*K266</f>
        <v>79.800000000000011</v>
      </c>
      <c r="O266" s="10">
        <f>IF(I266="Sim",VLOOKUP("Call of Duty Pass",Parâmetros!$A$11:$B$13,2,0),0)*K266</f>
        <v>0</v>
      </c>
      <c r="P266" s="10">
        <f>(L266*K266+M266+N266+O266)*IF(F266="Promoção",1-Parâmetros!$B$22,1)</f>
        <v>2059.8000000000002</v>
      </c>
      <c r="Q266" s="10">
        <f>Parâmetros!$B$20*K266</f>
        <v>240</v>
      </c>
      <c r="R266" s="10">
        <f>P266-Q266</f>
        <v>1819.8000000000002</v>
      </c>
    </row>
    <row r="267" spans="1:18">
      <c r="A267">
        <v>266</v>
      </c>
      <c r="B267" s="8">
        <v>45454</v>
      </c>
      <c r="C267" t="s">
        <v>8</v>
      </c>
      <c r="D267" t="s">
        <v>50</v>
      </c>
      <c r="E267" t="s">
        <v>41</v>
      </c>
      <c r="F267" t="s">
        <v>42</v>
      </c>
      <c r="G267" t="s">
        <v>43</v>
      </c>
      <c r="H267" t="s">
        <v>44</v>
      </c>
      <c r="I267" t="s">
        <v>44</v>
      </c>
      <c r="J267" t="s">
        <v>49</v>
      </c>
      <c r="K267" s="9">
        <v>20</v>
      </c>
      <c r="L267" s="10">
        <f>IFERROR(VLOOKUP(C267,Parâmetros!$A$5:$D$7,IF(D267="Mensal",2,IF(D267="Trimestral",3,4)),0),0)</f>
        <v>219</v>
      </c>
      <c r="M267" s="10">
        <f>IF(G267="Sim",VLOOKUP("EA Play",Parâmetros!$A$11:$B$13,2,0),0)*K267</f>
        <v>99.800000000000011</v>
      </c>
      <c r="N267" s="10">
        <f>IF(H267="Sim",VLOOKUP("Minecraft Pass",Parâmetros!$A$11:$B$13,2,0),0)*K267</f>
        <v>0</v>
      </c>
      <c r="O267" s="10">
        <f>IF(I267="Sim",VLOOKUP("Call of Duty Pass",Parâmetros!$A$11:$B$13,2,0),0)*K267</f>
        <v>0</v>
      </c>
      <c r="P267" s="10">
        <f>(L267*K267+M267+N267+O267)*IF(F267="Promoção",1-Parâmetros!$B$22,1)</f>
        <v>4479.8</v>
      </c>
      <c r="Q267" s="10">
        <f>Parâmetros!$B$20*K267</f>
        <v>240</v>
      </c>
      <c r="R267" s="10">
        <f>P267-Q267</f>
        <v>4239.8</v>
      </c>
    </row>
    <row r="268" spans="1:18">
      <c r="A268">
        <v>267</v>
      </c>
      <c r="B268" s="8">
        <v>46008</v>
      </c>
      <c r="C268" t="s">
        <v>8</v>
      </c>
      <c r="D268" t="s">
        <v>46</v>
      </c>
      <c r="E268" t="s">
        <v>41</v>
      </c>
      <c r="F268" t="s">
        <v>42</v>
      </c>
      <c r="G268" t="s">
        <v>43</v>
      </c>
      <c r="H268" t="s">
        <v>43</v>
      </c>
      <c r="I268" t="s">
        <v>44</v>
      </c>
      <c r="J268" t="s">
        <v>49</v>
      </c>
      <c r="K268" s="9">
        <v>29</v>
      </c>
      <c r="L268" s="10">
        <f>IFERROR(VLOOKUP(C268,Parâmetros!$A$5:$D$7,IF(D268="Mensal",2,IF(D268="Trimestral",3,4)),0),0)</f>
        <v>21.99</v>
      </c>
      <c r="M268" s="10">
        <f>IF(G268="Sim",VLOOKUP("EA Play",Parâmetros!$A$11:$B$13,2,0),0)*K268</f>
        <v>144.71</v>
      </c>
      <c r="N268" s="10">
        <f>IF(H268="Sim",VLOOKUP("Minecraft Pass",Parâmetros!$A$11:$B$13,2,0),0)*K268</f>
        <v>115.71000000000001</v>
      </c>
      <c r="O268" s="10">
        <f>IF(I268="Sim",VLOOKUP("Call of Duty Pass",Parâmetros!$A$11:$B$13,2,0),0)*K268</f>
        <v>0</v>
      </c>
      <c r="P268" s="10">
        <f>(L268*K268+M268+N268+O268)*IF(F268="Promoção",1-Parâmetros!$B$22,1)</f>
        <v>898.13</v>
      </c>
      <c r="Q268" s="10">
        <f>Parâmetros!$B$20*K268</f>
        <v>348</v>
      </c>
      <c r="R268" s="10">
        <f>P268-Q268</f>
        <v>550.13</v>
      </c>
    </row>
    <row r="269" spans="1:18">
      <c r="A269">
        <v>268</v>
      </c>
      <c r="B269" s="8">
        <v>45301</v>
      </c>
      <c r="C269" t="s">
        <v>6</v>
      </c>
      <c r="D269" t="s">
        <v>46</v>
      </c>
      <c r="E269" t="s">
        <v>41</v>
      </c>
      <c r="F269" t="s">
        <v>54</v>
      </c>
      <c r="G269" t="s">
        <v>44</v>
      </c>
      <c r="H269" t="s">
        <v>44</v>
      </c>
      <c r="I269" t="s">
        <v>43</v>
      </c>
      <c r="J269" t="s">
        <v>49</v>
      </c>
      <c r="K269" s="9">
        <v>7</v>
      </c>
      <c r="L269" s="10">
        <f>IFERROR(VLOOKUP(C269,Parâmetros!$A$5:$D$7,IF(D269="Mensal",2,IF(D269="Trimestral",3,4)),0),0)</f>
        <v>9.99</v>
      </c>
      <c r="M269" s="10">
        <f>IF(G269="Sim",VLOOKUP("EA Play",Parâmetros!$A$11:$B$13,2,0),0)*K269</f>
        <v>0</v>
      </c>
      <c r="N269" s="10">
        <f>IF(H269="Sim",VLOOKUP("Minecraft Pass",Parâmetros!$A$11:$B$13,2,0),0)*K269</f>
        <v>0</v>
      </c>
      <c r="O269" s="10">
        <f>IF(I269="Sim",VLOOKUP("Call of Duty Pass",Parâmetros!$A$11:$B$13,2,0),0)*K269</f>
        <v>48.93</v>
      </c>
      <c r="P269" s="10">
        <f>(L269*K269+M269+N269+O269)*IF(F269="Promoção",1-Parâmetros!$B$22,1)</f>
        <v>106.97400000000002</v>
      </c>
      <c r="Q269" s="10">
        <f>Parâmetros!$B$20*K269</f>
        <v>84</v>
      </c>
      <c r="R269" s="10">
        <f>P269-Q269</f>
        <v>22.974000000000018</v>
      </c>
    </row>
    <row r="270" spans="1:18">
      <c r="A270">
        <v>269</v>
      </c>
      <c r="B270" s="8">
        <v>45397</v>
      </c>
      <c r="C270" t="s">
        <v>6</v>
      </c>
      <c r="D270" t="s">
        <v>50</v>
      </c>
      <c r="E270" t="s">
        <v>41</v>
      </c>
      <c r="F270" t="s">
        <v>52</v>
      </c>
      <c r="G270" t="s">
        <v>44</v>
      </c>
      <c r="H270" t="s">
        <v>43</v>
      </c>
      <c r="I270" t="s">
        <v>44</v>
      </c>
      <c r="J270" t="s">
        <v>49</v>
      </c>
      <c r="K270" s="9">
        <v>34</v>
      </c>
      <c r="L270" s="10">
        <f>IFERROR(VLOOKUP(C270,Parâmetros!$A$5:$D$7,IF(D270="Mensal",2,IF(D270="Trimestral",3,4)),0),0)</f>
        <v>99</v>
      </c>
      <c r="M270" s="10">
        <f>IF(G270="Sim",VLOOKUP("EA Play",Parâmetros!$A$11:$B$13,2,0),0)*K270</f>
        <v>0</v>
      </c>
      <c r="N270" s="10">
        <f>IF(H270="Sim",VLOOKUP("Minecraft Pass",Parâmetros!$A$11:$B$13,2,0),0)*K270</f>
        <v>135.66</v>
      </c>
      <c r="O270" s="10">
        <f>IF(I270="Sim",VLOOKUP("Call of Duty Pass",Parâmetros!$A$11:$B$13,2,0),0)*K270</f>
        <v>0</v>
      </c>
      <c r="P270" s="10">
        <f>(L270*K270+M270+N270+O270)*IF(F270="Promoção",1-Parâmetros!$B$22,1)</f>
        <v>3501.66</v>
      </c>
      <c r="Q270" s="10">
        <f>Parâmetros!$B$20*K270</f>
        <v>408</v>
      </c>
      <c r="R270" s="10">
        <f>P270-Q270</f>
        <v>3093.66</v>
      </c>
    </row>
    <row r="271" spans="1:18">
      <c r="A271">
        <v>270</v>
      </c>
      <c r="B271" s="8">
        <v>45868</v>
      </c>
      <c r="C271" t="s">
        <v>6</v>
      </c>
      <c r="D271" t="s">
        <v>40</v>
      </c>
      <c r="E271" t="s">
        <v>47</v>
      </c>
      <c r="F271" t="s">
        <v>52</v>
      </c>
      <c r="G271" t="s">
        <v>44</v>
      </c>
      <c r="H271" t="s">
        <v>43</v>
      </c>
      <c r="I271" t="s">
        <v>44</v>
      </c>
      <c r="J271" t="s">
        <v>45</v>
      </c>
      <c r="K271" s="9">
        <v>14</v>
      </c>
      <c r="L271" s="10">
        <f>IFERROR(VLOOKUP(C271,Parâmetros!$A$5:$D$7,IF(D271="Mensal",2,IF(D271="Trimestral",3,4)),0),0)</f>
        <v>27</v>
      </c>
      <c r="M271" s="10">
        <f>IF(G271="Sim",VLOOKUP("EA Play",Parâmetros!$A$11:$B$13,2,0),0)*K271</f>
        <v>0</v>
      </c>
      <c r="N271" s="10">
        <f>IF(H271="Sim",VLOOKUP("Minecraft Pass",Parâmetros!$A$11:$B$13,2,0),0)*K271</f>
        <v>55.86</v>
      </c>
      <c r="O271" s="10">
        <f>IF(I271="Sim",VLOOKUP("Call of Duty Pass",Parâmetros!$A$11:$B$13,2,0),0)*K271</f>
        <v>0</v>
      </c>
      <c r="P271" s="10">
        <f>(L271*K271+M271+N271+O271)*IF(F271="Promoção",1-Parâmetros!$B$22,1)</f>
        <v>433.86</v>
      </c>
      <c r="Q271" s="10">
        <f>Parâmetros!$B$20*K271</f>
        <v>168</v>
      </c>
      <c r="R271" s="10">
        <f>P271-Q271</f>
        <v>265.86</v>
      </c>
    </row>
    <row r="272" spans="1:18">
      <c r="A272">
        <v>271</v>
      </c>
      <c r="B272" s="8">
        <v>45380</v>
      </c>
      <c r="C272" t="s">
        <v>8</v>
      </c>
      <c r="D272" t="s">
        <v>46</v>
      </c>
      <c r="E272" t="s">
        <v>41</v>
      </c>
      <c r="F272" t="s">
        <v>52</v>
      </c>
      <c r="G272" t="s">
        <v>43</v>
      </c>
      <c r="H272" t="s">
        <v>44</v>
      </c>
      <c r="I272" t="s">
        <v>44</v>
      </c>
      <c r="J272" t="s">
        <v>49</v>
      </c>
      <c r="K272" s="9">
        <v>6</v>
      </c>
      <c r="L272" s="10">
        <f>IFERROR(VLOOKUP(C272,Parâmetros!$A$5:$D$7,IF(D272="Mensal",2,IF(D272="Trimestral",3,4)),0),0)</f>
        <v>21.99</v>
      </c>
      <c r="M272" s="10">
        <f>IF(G272="Sim",VLOOKUP("EA Play",Parâmetros!$A$11:$B$13,2,0),0)*K272</f>
        <v>29.94</v>
      </c>
      <c r="N272" s="10">
        <f>IF(H272="Sim",VLOOKUP("Minecraft Pass",Parâmetros!$A$11:$B$13,2,0),0)*K272</f>
        <v>0</v>
      </c>
      <c r="O272" s="10">
        <f>IF(I272="Sim",VLOOKUP("Call of Duty Pass",Parâmetros!$A$11:$B$13,2,0),0)*K272</f>
        <v>0</v>
      </c>
      <c r="P272" s="10">
        <f>(L272*K272+M272+N272+O272)*IF(F272="Promoção",1-Parâmetros!$B$22,1)</f>
        <v>161.88</v>
      </c>
      <c r="Q272" s="10">
        <f>Parâmetros!$B$20*K272</f>
        <v>72</v>
      </c>
      <c r="R272" s="10">
        <f>P272-Q272</f>
        <v>89.88</v>
      </c>
    </row>
    <row r="273" spans="1:18">
      <c r="A273">
        <v>272</v>
      </c>
      <c r="B273" s="8">
        <v>45546</v>
      </c>
      <c r="C273" t="s">
        <v>7</v>
      </c>
      <c r="D273" t="s">
        <v>40</v>
      </c>
      <c r="E273" t="s">
        <v>47</v>
      </c>
      <c r="F273" t="s">
        <v>52</v>
      </c>
      <c r="G273" t="s">
        <v>44</v>
      </c>
      <c r="H273" t="s">
        <v>44</v>
      </c>
      <c r="I273" t="s">
        <v>44</v>
      </c>
      <c r="J273" t="s">
        <v>49</v>
      </c>
      <c r="K273" s="9">
        <v>34</v>
      </c>
      <c r="L273" s="10">
        <f>IFERROR(VLOOKUP(C273,Parâmetros!$A$5:$D$7,IF(D273="Mensal",2,IF(D273="Trimestral",3,4)),0),0)</f>
        <v>40</v>
      </c>
      <c r="M273" s="10">
        <f>IF(G273="Sim",VLOOKUP("EA Play",Parâmetros!$A$11:$B$13,2,0),0)*K273</f>
        <v>0</v>
      </c>
      <c r="N273" s="10">
        <f>IF(H273="Sim",VLOOKUP("Minecraft Pass",Parâmetros!$A$11:$B$13,2,0),0)*K273</f>
        <v>0</v>
      </c>
      <c r="O273" s="10">
        <f>IF(I273="Sim",VLOOKUP("Call of Duty Pass",Parâmetros!$A$11:$B$13,2,0),0)*K273</f>
        <v>0</v>
      </c>
      <c r="P273" s="10">
        <f>(L273*K273+M273+N273+O273)*IF(F273="Promoção",1-Parâmetros!$B$22,1)</f>
        <v>1360</v>
      </c>
      <c r="Q273" s="10">
        <f>Parâmetros!$B$20*K273</f>
        <v>408</v>
      </c>
      <c r="R273" s="10">
        <f>P273-Q273</f>
        <v>952</v>
      </c>
    </row>
    <row r="274" spans="1:18">
      <c r="A274">
        <v>273</v>
      </c>
      <c r="B274" s="8">
        <v>45913</v>
      </c>
      <c r="C274" t="s">
        <v>7</v>
      </c>
      <c r="D274" t="s">
        <v>40</v>
      </c>
      <c r="E274" t="s">
        <v>41</v>
      </c>
      <c r="F274" t="s">
        <v>42</v>
      </c>
      <c r="G274" t="s">
        <v>44</v>
      </c>
      <c r="H274" t="s">
        <v>44</v>
      </c>
      <c r="I274" t="s">
        <v>44</v>
      </c>
      <c r="J274" t="s">
        <v>49</v>
      </c>
      <c r="K274" s="9">
        <v>32</v>
      </c>
      <c r="L274" s="10">
        <f>IFERROR(VLOOKUP(C274,Parâmetros!$A$5:$D$7,IF(D274="Mensal",2,IF(D274="Trimestral",3,4)),0),0)</f>
        <v>40</v>
      </c>
      <c r="M274" s="10">
        <f>IF(G274="Sim",VLOOKUP("EA Play",Parâmetros!$A$11:$B$13,2,0),0)*K274</f>
        <v>0</v>
      </c>
      <c r="N274" s="10">
        <f>IF(H274="Sim",VLOOKUP("Minecraft Pass",Parâmetros!$A$11:$B$13,2,0),0)*K274</f>
        <v>0</v>
      </c>
      <c r="O274" s="10">
        <f>IF(I274="Sim",VLOOKUP("Call of Duty Pass",Parâmetros!$A$11:$B$13,2,0),0)*K274</f>
        <v>0</v>
      </c>
      <c r="P274" s="10">
        <f>(L274*K274+M274+N274+O274)*IF(F274="Promoção",1-Parâmetros!$B$22,1)</f>
        <v>1280</v>
      </c>
      <c r="Q274" s="10">
        <f>Parâmetros!$B$20*K274</f>
        <v>384</v>
      </c>
      <c r="R274" s="10">
        <f>P274-Q274</f>
        <v>896</v>
      </c>
    </row>
    <row r="275" spans="1:18">
      <c r="A275">
        <v>274</v>
      </c>
      <c r="B275" s="8">
        <v>45945</v>
      </c>
      <c r="C275" t="s">
        <v>7</v>
      </c>
      <c r="D275" t="s">
        <v>40</v>
      </c>
      <c r="E275" t="s">
        <v>53</v>
      </c>
      <c r="F275" t="s">
        <v>54</v>
      </c>
      <c r="G275" t="s">
        <v>44</v>
      </c>
      <c r="H275" t="s">
        <v>43</v>
      </c>
      <c r="I275" t="s">
        <v>44</v>
      </c>
      <c r="J275" t="s">
        <v>45</v>
      </c>
      <c r="K275" s="9">
        <v>24</v>
      </c>
      <c r="L275" s="10">
        <f>IFERROR(VLOOKUP(C275,Parâmetros!$A$5:$D$7,IF(D275="Mensal",2,IF(D275="Trimestral",3,4)),0),0)</f>
        <v>40</v>
      </c>
      <c r="M275" s="10">
        <f>IF(G275="Sim",VLOOKUP("EA Play",Parâmetros!$A$11:$B$13,2,0),0)*K275</f>
        <v>0</v>
      </c>
      <c r="N275" s="10">
        <f>IF(H275="Sim",VLOOKUP("Minecraft Pass",Parâmetros!$A$11:$B$13,2,0),0)*K275</f>
        <v>95.76</v>
      </c>
      <c r="O275" s="10">
        <f>IF(I275="Sim",VLOOKUP("Call of Duty Pass",Parâmetros!$A$11:$B$13,2,0),0)*K275</f>
        <v>0</v>
      </c>
      <c r="P275" s="10">
        <f>(L275*K275+M275+N275+O275)*IF(F275="Promoção",1-Parâmetros!$B$22,1)</f>
        <v>950.18399999999997</v>
      </c>
      <c r="Q275" s="10">
        <f>Parâmetros!$B$20*K275</f>
        <v>288</v>
      </c>
      <c r="R275" s="10">
        <f>P275-Q275</f>
        <v>662.18399999999997</v>
      </c>
    </row>
    <row r="276" spans="1:18">
      <c r="A276">
        <v>275</v>
      </c>
      <c r="B276" s="8">
        <v>45851</v>
      </c>
      <c r="C276" t="s">
        <v>7</v>
      </c>
      <c r="D276" t="s">
        <v>40</v>
      </c>
      <c r="E276" t="s">
        <v>53</v>
      </c>
      <c r="F276" t="s">
        <v>52</v>
      </c>
      <c r="G276" t="s">
        <v>43</v>
      </c>
      <c r="H276" t="s">
        <v>43</v>
      </c>
      <c r="I276" t="s">
        <v>43</v>
      </c>
      <c r="J276" t="s">
        <v>49</v>
      </c>
      <c r="K276" s="9">
        <v>4</v>
      </c>
      <c r="L276" s="10">
        <f>IFERROR(VLOOKUP(C276,Parâmetros!$A$5:$D$7,IF(D276="Mensal",2,IF(D276="Trimestral",3,4)),0),0)</f>
        <v>40</v>
      </c>
      <c r="M276" s="10">
        <f>IF(G276="Sim",VLOOKUP("EA Play",Parâmetros!$A$11:$B$13,2,0),0)*K276</f>
        <v>19.96</v>
      </c>
      <c r="N276" s="10">
        <f>IF(H276="Sim",VLOOKUP("Minecraft Pass",Parâmetros!$A$11:$B$13,2,0),0)*K276</f>
        <v>15.96</v>
      </c>
      <c r="O276" s="10">
        <f>IF(I276="Sim",VLOOKUP("Call of Duty Pass",Parâmetros!$A$11:$B$13,2,0),0)*K276</f>
        <v>27.96</v>
      </c>
      <c r="P276" s="10">
        <f>(L276*K276+M276+N276+O276)*IF(F276="Promoção",1-Parâmetros!$B$22,1)</f>
        <v>223.88000000000002</v>
      </c>
      <c r="Q276" s="10">
        <f>Parâmetros!$B$20*K276</f>
        <v>48</v>
      </c>
      <c r="R276" s="10">
        <f>P276-Q276</f>
        <v>175.88000000000002</v>
      </c>
    </row>
    <row r="277" spans="1:18">
      <c r="A277">
        <v>276</v>
      </c>
      <c r="B277" s="8">
        <v>45699</v>
      </c>
      <c r="C277" t="s">
        <v>7</v>
      </c>
      <c r="D277" t="s">
        <v>40</v>
      </c>
      <c r="E277" t="s">
        <v>47</v>
      </c>
      <c r="F277" t="s">
        <v>48</v>
      </c>
      <c r="G277" t="s">
        <v>44</v>
      </c>
      <c r="H277" t="s">
        <v>43</v>
      </c>
      <c r="I277" t="s">
        <v>44</v>
      </c>
      <c r="J277" t="s">
        <v>45</v>
      </c>
      <c r="K277" s="9">
        <v>18</v>
      </c>
      <c r="L277" s="10">
        <f>IFERROR(VLOOKUP(C277,Parâmetros!$A$5:$D$7,IF(D277="Mensal",2,IF(D277="Trimestral",3,4)),0),0)</f>
        <v>40</v>
      </c>
      <c r="M277" s="10">
        <f>IF(G277="Sim",VLOOKUP("EA Play",Parâmetros!$A$11:$B$13,2,0),0)*K277</f>
        <v>0</v>
      </c>
      <c r="N277" s="10">
        <f>IF(H277="Sim",VLOOKUP("Minecraft Pass",Parâmetros!$A$11:$B$13,2,0),0)*K277</f>
        <v>71.820000000000007</v>
      </c>
      <c r="O277" s="10">
        <f>IF(I277="Sim",VLOOKUP("Call of Duty Pass",Parâmetros!$A$11:$B$13,2,0),0)*K277</f>
        <v>0</v>
      </c>
      <c r="P277" s="10">
        <f>(L277*K277+M277+N277+O277)*IF(F277="Promoção",1-Parâmetros!$B$22,1)</f>
        <v>791.82</v>
      </c>
      <c r="Q277" s="10">
        <f>Parâmetros!$B$20*K277</f>
        <v>216</v>
      </c>
      <c r="R277" s="10">
        <f>P277-Q277</f>
        <v>575.82000000000005</v>
      </c>
    </row>
    <row r="278" spans="1:18">
      <c r="A278">
        <v>277</v>
      </c>
      <c r="B278" s="8">
        <v>45377</v>
      </c>
      <c r="C278" t="s">
        <v>6</v>
      </c>
      <c r="D278" t="s">
        <v>40</v>
      </c>
      <c r="E278" t="s">
        <v>41</v>
      </c>
      <c r="F278" t="s">
        <v>54</v>
      </c>
      <c r="G278" t="s">
        <v>44</v>
      </c>
      <c r="H278" t="s">
        <v>43</v>
      </c>
      <c r="I278" t="s">
        <v>44</v>
      </c>
      <c r="J278" t="s">
        <v>45</v>
      </c>
      <c r="K278" s="9">
        <v>5</v>
      </c>
      <c r="L278" s="10">
        <f>IFERROR(VLOOKUP(C278,Parâmetros!$A$5:$D$7,IF(D278="Mensal",2,IF(D278="Trimestral",3,4)),0),0)</f>
        <v>27</v>
      </c>
      <c r="M278" s="10">
        <f>IF(G278="Sim",VLOOKUP("EA Play",Parâmetros!$A$11:$B$13,2,0),0)*K278</f>
        <v>0</v>
      </c>
      <c r="N278" s="10">
        <f>IF(H278="Sim",VLOOKUP("Minecraft Pass",Parâmetros!$A$11:$B$13,2,0),0)*K278</f>
        <v>19.950000000000003</v>
      </c>
      <c r="O278" s="10">
        <f>IF(I278="Sim",VLOOKUP("Call of Duty Pass",Parâmetros!$A$11:$B$13,2,0),0)*K278</f>
        <v>0</v>
      </c>
      <c r="P278" s="10">
        <f>(L278*K278+M278+N278+O278)*IF(F278="Promoção",1-Parâmetros!$B$22,1)</f>
        <v>139.45499999999998</v>
      </c>
      <c r="Q278" s="10">
        <f>Parâmetros!$B$20*K278</f>
        <v>60</v>
      </c>
      <c r="R278" s="10">
        <f>P278-Q278</f>
        <v>79.454999999999984</v>
      </c>
    </row>
    <row r="279" spans="1:18">
      <c r="A279">
        <v>278</v>
      </c>
      <c r="B279" s="8">
        <v>45609</v>
      </c>
      <c r="C279" t="s">
        <v>7</v>
      </c>
      <c r="D279" t="s">
        <v>40</v>
      </c>
      <c r="E279" t="s">
        <v>55</v>
      </c>
      <c r="F279" t="s">
        <v>42</v>
      </c>
      <c r="G279" t="s">
        <v>43</v>
      </c>
      <c r="H279" t="s">
        <v>44</v>
      </c>
      <c r="I279" t="s">
        <v>44</v>
      </c>
      <c r="J279" t="s">
        <v>45</v>
      </c>
      <c r="K279" s="9">
        <v>20</v>
      </c>
      <c r="L279" s="10">
        <f>IFERROR(VLOOKUP(C279,Parâmetros!$A$5:$D$7,IF(D279="Mensal",2,IF(D279="Trimestral",3,4)),0),0)</f>
        <v>40</v>
      </c>
      <c r="M279" s="10">
        <f>IF(G279="Sim",VLOOKUP("EA Play",Parâmetros!$A$11:$B$13,2,0),0)*K279</f>
        <v>99.800000000000011</v>
      </c>
      <c r="N279" s="10">
        <f>IF(H279="Sim",VLOOKUP("Minecraft Pass",Parâmetros!$A$11:$B$13,2,0),0)*K279</f>
        <v>0</v>
      </c>
      <c r="O279" s="10">
        <f>IF(I279="Sim",VLOOKUP("Call of Duty Pass",Parâmetros!$A$11:$B$13,2,0),0)*K279</f>
        <v>0</v>
      </c>
      <c r="P279" s="10">
        <f>(L279*K279+M279+N279+O279)*IF(F279="Promoção",1-Parâmetros!$B$22,1)</f>
        <v>899.8</v>
      </c>
      <c r="Q279" s="10">
        <f>Parâmetros!$B$20*K279</f>
        <v>240</v>
      </c>
      <c r="R279" s="10">
        <f>P279-Q279</f>
        <v>659.8</v>
      </c>
    </row>
    <row r="280" spans="1:18">
      <c r="A280">
        <v>279</v>
      </c>
      <c r="B280" s="8">
        <v>45974</v>
      </c>
      <c r="C280" t="s">
        <v>7</v>
      </c>
      <c r="D280" t="s">
        <v>40</v>
      </c>
      <c r="E280" t="s">
        <v>41</v>
      </c>
      <c r="F280" t="s">
        <v>52</v>
      </c>
      <c r="G280" t="s">
        <v>44</v>
      </c>
      <c r="H280" t="s">
        <v>43</v>
      </c>
      <c r="I280" t="s">
        <v>44</v>
      </c>
      <c r="J280" t="s">
        <v>49</v>
      </c>
      <c r="K280" s="9">
        <v>17</v>
      </c>
      <c r="L280" s="10">
        <f>IFERROR(VLOOKUP(C280,Parâmetros!$A$5:$D$7,IF(D280="Mensal",2,IF(D280="Trimestral",3,4)),0),0)</f>
        <v>40</v>
      </c>
      <c r="M280" s="10">
        <f>IF(G280="Sim",VLOOKUP("EA Play",Parâmetros!$A$11:$B$13,2,0),0)*K280</f>
        <v>0</v>
      </c>
      <c r="N280" s="10">
        <f>IF(H280="Sim",VLOOKUP("Minecraft Pass",Parâmetros!$A$11:$B$13,2,0),0)*K280</f>
        <v>67.83</v>
      </c>
      <c r="O280" s="10">
        <f>IF(I280="Sim",VLOOKUP("Call of Duty Pass",Parâmetros!$A$11:$B$13,2,0),0)*K280</f>
        <v>0</v>
      </c>
      <c r="P280" s="10">
        <f>(L280*K280+M280+N280+O280)*IF(F280="Promoção",1-Parâmetros!$B$22,1)</f>
        <v>747.83</v>
      </c>
      <c r="Q280" s="10">
        <f>Parâmetros!$B$20*K280</f>
        <v>204</v>
      </c>
      <c r="R280" s="10">
        <f>P280-Q280</f>
        <v>543.83000000000004</v>
      </c>
    </row>
    <row r="281" spans="1:18">
      <c r="A281">
        <v>280</v>
      </c>
      <c r="B281" s="8">
        <v>45462</v>
      </c>
      <c r="C281" t="s">
        <v>6</v>
      </c>
      <c r="D281" t="s">
        <v>40</v>
      </c>
      <c r="E281" t="s">
        <v>55</v>
      </c>
      <c r="F281" t="s">
        <v>52</v>
      </c>
      <c r="G281" t="s">
        <v>43</v>
      </c>
      <c r="H281" t="s">
        <v>44</v>
      </c>
      <c r="I281" t="s">
        <v>44</v>
      </c>
      <c r="J281" t="s">
        <v>49</v>
      </c>
      <c r="K281" s="9">
        <v>34</v>
      </c>
      <c r="L281" s="10">
        <f>IFERROR(VLOOKUP(C281,Parâmetros!$A$5:$D$7,IF(D281="Mensal",2,IF(D281="Trimestral",3,4)),0),0)</f>
        <v>27</v>
      </c>
      <c r="M281" s="10">
        <f>IF(G281="Sim",VLOOKUP("EA Play",Parâmetros!$A$11:$B$13,2,0),0)*K281</f>
        <v>169.66</v>
      </c>
      <c r="N281" s="10">
        <f>IF(H281="Sim",VLOOKUP("Minecraft Pass",Parâmetros!$A$11:$B$13,2,0),0)*K281</f>
        <v>0</v>
      </c>
      <c r="O281" s="10">
        <f>IF(I281="Sim",VLOOKUP("Call of Duty Pass",Parâmetros!$A$11:$B$13,2,0),0)*K281</f>
        <v>0</v>
      </c>
      <c r="P281" s="10">
        <f>(L281*K281+M281+N281+O281)*IF(F281="Promoção",1-Parâmetros!$B$22,1)</f>
        <v>1087.6600000000001</v>
      </c>
      <c r="Q281" s="10">
        <f>Parâmetros!$B$20*K281</f>
        <v>408</v>
      </c>
      <c r="R281" s="10">
        <f>P281-Q281</f>
        <v>679.66000000000008</v>
      </c>
    </row>
    <row r="282" spans="1:18">
      <c r="A282">
        <v>281</v>
      </c>
      <c r="B282" s="8">
        <v>45357</v>
      </c>
      <c r="C282" t="s">
        <v>6</v>
      </c>
      <c r="D282" t="s">
        <v>50</v>
      </c>
      <c r="E282" t="s">
        <v>47</v>
      </c>
      <c r="F282" t="s">
        <v>48</v>
      </c>
      <c r="G282" t="s">
        <v>44</v>
      </c>
      <c r="H282" t="s">
        <v>43</v>
      </c>
      <c r="I282" t="s">
        <v>44</v>
      </c>
      <c r="J282" t="s">
        <v>49</v>
      </c>
      <c r="K282" s="9">
        <v>11</v>
      </c>
      <c r="L282" s="10">
        <f>IFERROR(VLOOKUP(C282,Parâmetros!$A$5:$D$7,IF(D282="Mensal",2,IF(D282="Trimestral",3,4)),0),0)</f>
        <v>99</v>
      </c>
      <c r="M282" s="10">
        <f>IF(G282="Sim",VLOOKUP("EA Play",Parâmetros!$A$11:$B$13,2,0),0)*K282</f>
        <v>0</v>
      </c>
      <c r="N282" s="10">
        <f>IF(H282="Sim",VLOOKUP("Minecraft Pass",Parâmetros!$A$11:$B$13,2,0),0)*K282</f>
        <v>43.89</v>
      </c>
      <c r="O282" s="10">
        <f>IF(I282="Sim",VLOOKUP("Call of Duty Pass",Parâmetros!$A$11:$B$13,2,0),0)*K282</f>
        <v>0</v>
      </c>
      <c r="P282" s="10">
        <f>(L282*K282+M282+N282+O282)*IF(F282="Promoção",1-Parâmetros!$B$22,1)</f>
        <v>1132.8900000000001</v>
      </c>
      <c r="Q282" s="10">
        <f>Parâmetros!$B$20*K282</f>
        <v>132</v>
      </c>
      <c r="R282" s="10">
        <f>P282-Q282</f>
        <v>1000.8900000000001</v>
      </c>
    </row>
    <row r="283" spans="1:18">
      <c r="A283">
        <v>282</v>
      </c>
      <c r="B283" s="8">
        <v>45553</v>
      </c>
      <c r="C283" t="s">
        <v>8</v>
      </c>
      <c r="D283" t="s">
        <v>50</v>
      </c>
      <c r="E283" t="s">
        <v>51</v>
      </c>
      <c r="F283" t="s">
        <v>42</v>
      </c>
      <c r="G283" t="s">
        <v>44</v>
      </c>
      <c r="H283" t="s">
        <v>43</v>
      </c>
      <c r="I283" t="s">
        <v>44</v>
      </c>
      <c r="J283" t="s">
        <v>49</v>
      </c>
      <c r="K283" s="9">
        <v>3</v>
      </c>
      <c r="L283" s="10">
        <f>IFERROR(VLOOKUP(C283,Parâmetros!$A$5:$D$7,IF(D283="Mensal",2,IF(D283="Trimestral",3,4)),0),0)</f>
        <v>219</v>
      </c>
      <c r="M283" s="10">
        <f>IF(G283="Sim",VLOOKUP("EA Play",Parâmetros!$A$11:$B$13,2,0),0)*K283</f>
        <v>0</v>
      </c>
      <c r="N283" s="10">
        <f>IF(H283="Sim",VLOOKUP("Minecraft Pass",Parâmetros!$A$11:$B$13,2,0),0)*K283</f>
        <v>11.97</v>
      </c>
      <c r="O283" s="10">
        <f>IF(I283="Sim",VLOOKUP("Call of Duty Pass",Parâmetros!$A$11:$B$13,2,0),0)*K283</f>
        <v>0</v>
      </c>
      <c r="P283" s="10">
        <f>(L283*K283+M283+N283+O283)*IF(F283="Promoção",1-Parâmetros!$B$22,1)</f>
        <v>668.97</v>
      </c>
      <c r="Q283" s="10">
        <f>Parâmetros!$B$20*K283</f>
        <v>36</v>
      </c>
      <c r="R283" s="10">
        <f>P283-Q283</f>
        <v>632.97</v>
      </c>
    </row>
    <row r="284" spans="1:18">
      <c r="A284">
        <v>283</v>
      </c>
      <c r="B284" s="8">
        <v>45775</v>
      </c>
      <c r="C284" t="s">
        <v>6</v>
      </c>
      <c r="D284" t="s">
        <v>50</v>
      </c>
      <c r="E284" t="s">
        <v>41</v>
      </c>
      <c r="F284" t="s">
        <v>54</v>
      </c>
      <c r="G284" t="s">
        <v>43</v>
      </c>
      <c r="H284" t="s">
        <v>44</v>
      </c>
      <c r="I284" t="s">
        <v>44</v>
      </c>
      <c r="J284" t="s">
        <v>45</v>
      </c>
      <c r="K284" s="9">
        <v>15</v>
      </c>
      <c r="L284" s="10">
        <f>IFERROR(VLOOKUP(C284,Parâmetros!$A$5:$D$7,IF(D284="Mensal",2,IF(D284="Trimestral",3,4)),0),0)</f>
        <v>99</v>
      </c>
      <c r="M284" s="10">
        <f>IF(G284="Sim",VLOOKUP("EA Play",Parâmetros!$A$11:$B$13,2,0),0)*K284</f>
        <v>74.850000000000009</v>
      </c>
      <c r="N284" s="10">
        <f>IF(H284="Sim",VLOOKUP("Minecraft Pass",Parâmetros!$A$11:$B$13,2,0),0)*K284</f>
        <v>0</v>
      </c>
      <c r="O284" s="10">
        <f>IF(I284="Sim",VLOOKUP("Call of Duty Pass",Parâmetros!$A$11:$B$13,2,0),0)*K284</f>
        <v>0</v>
      </c>
      <c r="P284" s="10">
        <f>(L284*K284+M284+N284+O284)*IF(F284="Promoção",1-Parâmetros!$B$22,1)</f>
        <v>1403.865</v>
      </c>
      <c r="Q284" s="10">
        <f>Parâmetros!$B$20*K284</f>
        <v>180</v>
      </c>
      <c r="R284" s="10">
        <f>P284-Q284</f>
        <v>1223.865</v>
      </c>
    </row>
    <row r="285" spans="1:18">
      <c r="A285">
        <v>284</v>
      </c>
      <c r="B285" s="8">
        <v>45621</v>
      </c>
      <c r="C285" t="s">
        <v>6</v>
      </c>
      <c r="D285" t="s">
        <v>50</v>
      </c>
      <c r="E285" t="s">
        <v>41</v>
      </c>
      <c r="F285" t="s">
        <v>54</v>
      </c>
      <c r="G285" t="s">
        <v>44</v>
      </c>
      <c r="H285" t="s">
        <v>43</v>
      </c>
      <c r="I285" t="s">
        <v>44</v>
      </c>
      <c r="J285" t="s">
        <v>49</v>
      </c>
      <c r="K285" s="9">
        <v>15</v>
      </c>
      <c r="L285" s="10">
        <f>IFERROR(VLOOKUP(C285,Parâmetros!$A$5:$D$7,IF(D285="Mensal",2,IF(D285="Trimestral",3,4)),0),0)</f>
        <v>99</v>
      </c>
      <c r="M285" s="10">
        <f>IF(G285="Sim",VLOOKUP("EA Play",Parâmetros!$A$11:$B$13,2,0),0)*K285</f>
        <v>0</v>
      </c>
      <c r="N285" s="10">
        <f>IF(H285="Sim",VLOOKUP("Minecraft Pass",Parâmetros!$A$11:$B$13,2,0),0)*K285</f>
        <v>59.85</v>
      </c>
      <c r="O285" s="10">
        <f>IF(I285="Sim",VLOOKUP("Call of Duty Pass",Parâmetros!$A$11:$B$13,2,0),0)*K285</f>
        <v>0</v>
      </c>
      <c r="P285" s="10">
        <f>(L285*K285+M285+N285+O285)*IF(F285="Promoção",1-Parâmetros!$B$22,1)</f>
        <v>1390.365</v>
      </c>
      <c r="Q285" s="10">
        <f>Parâmetros!$B$20*K285</f>
        <v>180</v>
      </c>
      <c r="R285" s="10">
        <f>P285-Q285</f>
        <v>1210.365</v>
      </c>
    </row>
    <row r="286" spans="1:18">
      <c r="A286">
        <v>285</v>
      </c>
      <c r="B286" s="8">
        <v>45820</v>
      </c>
      <c r="C286" t="s">
        <v>8</v>
      </c>
      <c r="D286" t="s">
        <v>50</v>
      </c>
      <c r="E286" t="s">
        <v>41</v>
      </c>
      <c r="F286" t="s">
        <v>48</v>
      </c>
      <c r="G286" t="s">
        <v>43</v>
      </c>
      <c r="H286" t="s">
        <v>44</v>
      </c>
      <c r="I286" t="s">
        <v>44</v>
      </c>
      <c r="J286" t="s">
        <v>45</v>
      </c>
      <c r="K286" s="9">
        <v>1</v>
      </c>
      <c r="L286" s="10">
        <f>IFERROR(VLOOKUP(C286,Parâmetros!$A$5:$D$7,IF(D286="Mensal",2,IF(D286="Trimestral",3,4)),0),0)</f>
        <v>219</v>
      </c>
      <c r="M286" s="10">
        <f>IF(G286="Sim",VLOOKUP("EA Play",Parâmetros!$A$11:$B$13,2,0),0)*K286</f>
        <v>4.99</v>
      </c>
      <c r="N286" s="10">
        <f>IF(H286="Sim",VLOOKUP("Minecraft Pass",Parâmetros!$A$11:$B$13,2,0),0)*K286</f>
        <v>0</v>
      </c>
      <c r="O286" s="10">
        <f>IF(I286="Sim",VLOOKUP("Call of Duty Pass",Parâmetros!$A$11:$B$13,2,0),0)*K286</f>
        <v>0</v>
      </c>
      <c r="P286" s="10">
        <f>(L286*K286+M286+N286+O286)*IF(F286="Promoção",1-Parâmetros!$B$22,1)</f>
        <v>223.99</v>
      </c>
      <c r="Q286" s="10">
        <f>Parâmetros!$B$20*K286</f>
        <v>12</v>
      </c>
      <c r="R286" s="10">
        <f>P286-Q286</f>
        <v>211.99</v>
      </c>
    </row>
    <row r="287" spans="1:18">
      <c r="A287">
        <v>286</v>
      </c>
      <c r="B287" s="8">
        <v>45669</v>
      </c>
      <c r="C287" t="s">
        <v>6</v>
      </c>
      <c r="D287" t="s">
        <v>40</v>
      </c>
      <c r="E287" t="s">
        <v>41</v>
      </c>
      <c r="F287" t="s">
        <v>52</v>
      </c>
      <c r="G287" t="s">
        <v>44</v>
      </c>
      <c r="H287" t="s">
        <v>44</v>
      </c>
      <c r="I287" t="s">
        <v>44</v>
      </c>
      <c r="J287" t="s">
        <v>45</v>
      </c>
      <c r="K287" s="9">
        <v>13</v>
      </c>
      <c r="L287" s="10">
        <f>IFERROR(VLOOKUP(C287,Parâmetros!$A$5:$D$7,IF(D287="Mensal",2,IF(D287="Trimestral",3,4)),0),0)</f>
        <v>27</v>
      </c>
      <c r="M287" s="10">
        <f>IF(G287="Sim",VLOOKUP("EA Play",Parâmetros!$A$11:$B$13,2,0),0)*K287</f>
        <v>0</v>
      </c>
      <c r="N287" s="10">
        <f>IF(H287="Sim",VLOOKUP("Minecraft Pass",Parâmetros!$A$11:$B$13,2,0),0)*K287</f>
        <v>0</v>
      </c>
      <c r="O287" s="10">
        <f>IF(I287="Sim",VLOOKUP("Call of Duty Pass",Parâmetros!$A$11:$B$13,2,0),0)*K287</f>
        <v>0</v>
      </c>
      <c r="P287" s="10">
        <f>(L287*K287+M287+N287+O287)*IF(F287="Promoção",1-Parâmetros!$B$22,1)</f>
        <v>351</v>
      </c>
      <c r="Q287" s="10">
        <f>Parâmetros!$B$20*K287</f>
        <v>156</v>
      </c>
      <c r="R287" s="10">
        <f>P287-Q287</f>
        <v>195</v>
      </c>
    </row>
    <row r="288" spans="1:18">
      <c r="A288">
        <v>287</v>
      </c>
      <c r="B288" s="8">
        <v>45851</v>
      </c>
      <c r="C288" t="s">
        <v>8</v>
      </c>
      <c r="D288" t="s">
        <v>46</v>
      </c>
      <c r="E288" t="s">
        <v>41</v>
      </c>
      <c r="F288" t="s">
        <v>48</v>
      </c>
      <c r="G288" t="s">
        <v>43</v>
      </c>
      <c r="H288" t="s">
        <v>43</v>
      </c>
      <c r="I288" t="s">
        <v>44</v>
      </c>
      <c r="J288" t="s">
        <v>45</v>
      </c>
      <c r="K288" s="9">
        <v>22</v>
      </c>
      <c r="L288" s="10">
        <f>IFERROR(VLOOKUP(C288,Parâmetros!$A$5:$D$7,IF(D288="Mensal",2,IF(D288="Trimestral",3,4)),0),0)</f>
        <v>21.99</v>
      </c>
      <c r="M288" s="10">
        <f>IF(G288="Sim",VLOOKUP("EA Play",Parâmetros!$A$11:$B$13,2,0),0)*K288</f>
        <v>109.78</v>
      </c>
      <c r="N288" s="10">
        <f>IF(H288="Sim",VLOOKUP("Minecraft Pass",Parâmetros!$A$11:$B$13,2,0),0)*K288</f>
        <v>87.78</v>
      </c>
      <c r="O288" s="10">
        <f>IF(I288="Sim",VLOOKUP("Call of Duty Pass",Parâmetros!$A$11:$B$13,2,0),0)*K288</f>
        <v>0</v>
      </c>
      <c r="P288" s="10">
        <f>(L288*K288+M288+N288+O288)*IF(F288="Promoção",1-Parâmetros!$B$22,1)</f>
        <v>681.33999999999992</v>
      </c>
      <c r="Q288" s="10">
        <f>Parâmetros!$B$20*K288</f>
        <v>264</v>
      </c>
      <c r="R288" s="10">
        <f>P288-Q288</f>
        <v>417.33999999999992</v>
      </c>
    </row>
    <row r="289" spans="1:18">
      <c r="A289">
        <v>288</v>
      </c>
      <c r="B289" s="8">
        <v>45293</v>
      </c>
      <c r="C289" t="s">
        <v>8</v>
      </c>
      <c r="D289" t="s">
        <v>46</v>
      </c>
      <c r="E289" t="s">
        <v>51</v>
      </c>
      <c r="F289" t="s">
        <v>42</v>
      </c>
      <c r="G289" t="s">
        <v>43</v>
      </c>
      <c r="H289" t="s">
        <v>44</v>
      </c>
      <c r="I289" t="s">
        <v>44</v>
      </c>
      <c r="J289" t="s">
        <v>45</v>
      </c>
      <c r="K289" s="9">
        <v>10</v>
      </c>
      <c r="L289" s="10">
        <f>IFERROR(VLOOKUP(C289,Parâmetros!$A$5:$D$7,IF(D289="Mensal",2,IF(D289="Trimestral",3,4)),0),0)</f>
        <v>21.99</v>
      </c>
      <c r="M289" s="10">
        <f>IF(G289="Sim",VLOOKUP("EA Play",Parâmetros!$A$11:$B$13,2,0),0)*K289</f>
        <v>49.900000000000006</v>
      </c>
      <c r="N289" s="10">
        <f>IF(H289="Sim",VLOOKUP("Minecraft Pass",Parâmetros!$A$11:$B$13,2,0),0)*K289</f>
        <v>0</v>
      </c>
      <c r="O289" s="10">
        <f>IF(I289="Sim",VLOOKUP("Call of Duty Pass",Parâmetros!$A$11:$B$13,2,0),0)*K289</f>
        <v>0</v>
      </c>
      <c r="P289" s="10">
        <f>(L289*K289+M289+N289+O289)*IF(F289="Promoção",1-Parâmetros!$B$22,1)</f>
        <v>269.79999999999995</v>
      </c>
      <c r="Q289" s="10">
        <f>Parâmetros!$B$20*K289</f>
        <v>120</v>
      </c>
      <c r="R289" s="10">
        <f>P289-Q289</f>
        <v>149.79999999999995</v>
      </c>
    </row>
    <row r="290" spans="1:18">
      <c r="A290">
        <v>289</v>
      </c>
      <c r="B290" s="8">
        <v>46020</v>
      </c>
      <c r="C290" t="s">
        <v>6</v>
      </c>
      <c r="D290" t="s">
        <v>46</v>
      </c>
      <c r="E290" t="s">
        <v>41</v>
      </c>
      <c r="F290" t="s">
        <v>54</v>
      </c>
      <c r="G290" t="s">
        <v>43</v>
      </c>
      <c r="H290" t="s">
        <v>44</v>
      </c>
      <c r="I290" t="s">
        <v>44</v>
      </c>
      <c r="J290" t="s">
        <v>45</v>
      </c>
      <c r="K290" s="9">
        <v>7</v>
      </c>
      <c r="L290" s="10">
        <f>IFERROR(VLOOKUP(C290,Parâmetros!$A$5:$D$7,IF(D290="Mensal",2,IF(D290="Trimestral",3,4)),0),0)</f>
        <v>9.99</v>
      </c>
      <c r="M290" s="10">
        <f>IF(G290="Sim",VLOOKUP("EA Play",Parâmetros!$A$11:$B$13,2,0),0)*K290</f>
        <v>34.93</v>
      </c>
      <c r="N290" s="10">
        <f>IF(H290="Sim",VLOOKUP("Minecraft Pass",Parâmetros!$A$11:$B$13,2,0),0)*K290</f>
        <v>0</v>
      </c>
      <c r="O290" s="10">
        <f>IF(I290="Sim",VLOOKUP("Call of Duty Pass",Parâmetros!$A$11:$B$13,2,0),0)*K290</f>
        <v>0</v>
      </c>
      <c r="P290" s="10">
        <f>(L290*K290+M290+N290+O290)*IF(F290="Promoção",1-Parâmetros!$B$22,1)</f>
        <v>94.374000000000009</v>
      </c>
      <c r="Q290" s="10">
        <f>Parâmetros!$B$20*K290</f>
        <v>84</v>
      </c>
      <c r="R290" s="10">
        <f>P290-Q290</f>
        <v>10.374000000000009</v>
      </c>
    </row>
    <row r="291" spans="1:18">
      <c r="A291">
        <v>290</v>
      </c>
      <c r="B291" s="8">
        <v>45809</v>
      </c>
      <c r="C291" t="s">
        <v>6</v>
      </c>
      <c r="D291" t="s">
        <v>50</v>
      </c>
      <c r="E291" t="s">
        <v>41</v>
      </c>
      <c r="F291" t="s">
        <v>48</v>
      </c>
      <c r="G291" t="s">
        <v>43</v>
      </c>
      <c r="H291" t="s">
        <v>44</v>
      </c>
      <c r="I291" t="s">
        <v>43</v>
      </c>
      <c r="J291" t="s">
        <v>49</v>
      </c>
      <c r="K291" s="9">
        <v>21</v>
      </c>
      <c r="L291" s="10">
        <f>IFERROR(VLOOKUP(C291,Parâmetros!$A$5:$D$7,IF(D291="Mensal",2,IF(D291="Trimestral",3,4)),0),0)</f>
        <v>99</v>
      </c>
      <c r="M291" s="10">
        <f>IF(G291="Sim",VLOOKUP("EA Play",Parâmetros!$A$11:$B$13,2,0),0)*K291</f>
        <v>104.79</v>
      </c>
      <c r="N291" s="10">
        <f>IF(H291="Sim",VLOOKUP("Minecraft Pass",Parâmetros!$A$11:$B$13,2,0),0)*K291</f>
        <v>0</v>
      </c>
      <c r="O291" s="10">
        <f>IF(I291="Sim",VLOOKUP("Call of Duty Pass",Parâmetros!$A$11:$B$13,2,0),0)*K291</f>
        <v>146.79</v>
      </c>
      <c r="P291" s="10">
        <f>(L291*K291+M291+N291+O291)*IF(F291="Promoção",1-Parâmetros!$B$22,1)</f>
        <v>2330.58</v>
      </c>
      <c r="Q291" s="10">
        <f>Parâmetros!$B$20*K291</f>
        <v>252</v>
      </c>
      <c r="R291" s="10">
        <f>P291-Q291</f>
        <v>2078.58</v>
      </c>
    </row>
    <row r="292" spans="1:18">
      <c r="A292">
        <v>291</v>
      </c>
      <c r="B292" s="8">
        <v>45694</v>
      </c>
      <c r="C292" t="s">
        <v>7</v>
      </c>
      <c r="D292" t="s">
        <v>40</v>
      </c>
      <c r="E292" t="s">
        <v>41</v>
      </c>
      <c r="F292" t="s">
        <v>42</v>
      </c>
      <c r="G292" t="s">
        <v>43</v>
      </c>
      <c r="H292" t="s">
        <v>43</v>
      </c>
      <c r="I292" t="s">
        <v>44</v>
      </c>
      <c r="J292" t="s">
        <v>45</v>
      </c>
      <c r="K292" s="9">
        <v>10</v>
      </c>
      <c r="L292" s="10">
        <f>IFERROR(VLOOKUP(C292,Parâmetros!$A$5:$D$7,IF(D292="Mensal",2,IF(D292="Trimestral",3,4)),0),0)</f>
        <v>40</v>
      </c>
      <c r="M292" s="10">
        <f>IF(G292="Sim",VLOOKUP("EA Play",Parâmetros!$A$11:$B$13,2,0),0)*K292</f>
        <v>49.900000000000006</v>
      </c>
      <c r="N292" s="10">
        <f>IF(H292="Sim",VLOOKUP("Minecraft Pass",Parâmetros!$A$11:$B$13,2,0),0)*K292</f>
        <v>39.900000000000006</v>
      </c>
      <c r="O292" s="10">
        <f>IF(I292="Sim",VLOOKUP("Call of Duty Pass",Parâmetros!$A$11:$B$13,2,0),0)*K292</f>
        <v>0</v>
      </c>
      <c r="P292" s="10">
        <f>(L292*K292+M292+N292+O292)*IF(F292="Promoção",1-Parâmetros!$B$22,1)</f>
        <v>489.79999999999995</v>
      </c>
      <c r="Q292" s="10">
        <f>Parâmetros!$B$20*K292</f>
        <v>120</v>
      </c>
      <c r="R292" s="10">
        <f>P292-Q292</f>
        <v>369.79999999999995</v>
      </c>
    </row>
    <row r="293" spans="1:18">
      <c r="A293">
        <v>292</v>
      </c>
      <c r="B293" s="8">
        <v>45400</v>
      </c>
      <c r="C293" t="s">
        <v>6</v>
      </c>
      <c r="D293" t="s">
        <v>46</v>
      </c>
      <c r="E293" t="s">
        <v>41</v>
      </c>
      <c r="F293" t="s">
        <v>48</v>
      </c>
      <c r="G293" t="s">
        <v>44</v>
      </c>
      <c r="H293" t="s">
        <v>43</v>
      </c>
      <c r="I293" t="s">
        <v>44</v>
      </c>
      <c r="J293" t="s">
        <v>49</v>
      </c>
      <c r="K293" s="9">
        <v>8</v>
      </c>
      <c r="L293" s="10">
        <f>IFERROR(VLOOKUP(C293,Parâmetros!$A$5:$D$7,IF(D293="Mensal",2,IF(D293="Trimestral",3,4)),0),0)</f>
        <v>9.99</v>
      </c>
      <c r="M293" s="10">
        <f>IF(G293="Sim",VLOOKUP("EA Play",Parâmetros!$A$11:$B$13,2,0),0)*K293</f>
        <v>0</v>
      </c>
      <c r="N293" s="10">
        <f>IF(H293="Sim",VLOOKUP("Minecraft Pass",Parâmetros!$A$11:$B$13,2,0),0)*K293</f>
        <v>31.92</v>
      </c>
      <c r="O293" s="10">
        <f>IF(I293="Sim",VLOOKUP("Call of Duty Pass",Parâmetros!$A$11:$B$13,2,0),0)*K293</f>
        <v>0</v>
      </c>
      <c r="P293" s="10">
        <f>(L293*K293+M293+N293+O293)*IF(F293="Promoção",1-Parâmetros!$B$22,1)</f>
        <v>111.84</v>
      </c>
      <c r="Q293" s="10">
        <f>Parâmetros!$B$20*K293</f>
        <v>96</v>
      </c>
      <c r="R293" s="10">
        <f>P293-Q293</f>
        <v>15.840000000000003</v>
      </c>
    </row>
    <row r="294" spans="1:18">
      <c r="A294">
        <v>293</v>
      </c>
      <c r="B294" s="8">
        <v>45384</v>
      </c>
      <c r="C294" t="s">
        <v>6</v>
      </c>
      <c r="D294" t="s">
        <v>40</v>
      </c>
      <c r="E294" t="s">
        <v>51</v>
      </c>
      <c r="F294" t="s">
        <v>52</v>
      </c>
      <c r="G294" t="s">
        <v>43</v>
      </c>
      <c r="H294" t="s">
        <v>44</v>
      </c>
      <c r="I294" t="s">
        <v>44</v>
      </c>
      <c r="J294" t="s">
        <v>49</v>
      </c>
      <c r="K294" s="9">
        <v>16</v>
      </c>
      <c r="L294" s="10">
        <f>IFERROR(VLOOKUP(C294,Parâmetros!$A$5:$D$7,IF(D294="Mensal",2,IF(D294="Trimestral",3,4)),0),0)</f>
        <v>27</v>
      </c>
      <c r="M294" s="10">
        <f>IF(G294="Sim",VLOOKUP("EA Play",Parâmetros!$A$11:$B$13,2,0),0)*K294</f>
        <v>79.84</v>
      </c>
      <c r="N294" s="10">
        <f>IF(H294="Sim",VLOOKUP("Minecraft Pass",Parâmetros!$A$11:$B$13,2,0),0)*K294</f>
        <v>0</v>
      </c>
      <c r="O294" s="10">
        <f>IF(I294="Sim",VLOOKUP("Call of Duty Pass",Parâmetros!$A$11:$B$13,2,0),0)*K294</f>
        <v>0</v>
      </c>
      <c r="P294" s="10">
        <f>(L294*K294+M294+N294+O294)*IF(F294="Promoção",1-Parâmetros!$B$22,1)</f>
        <v>511.84000000000003</v>
      </c>
      <c r="Q294" s="10">
        <f>Parâmetros!$B$20*K294</f>
        <v>192</v>
      </c>
      <c r="R294" s="10">
        <f>P294-Q294</f>
        <v>319.84000000000003</v>
      </c>
    </row>
    <row r="295" spans="1:18">
      <c r="A295">
        <v>294</v>
      </c>
      <c r="B295" s="8">
        <v>45656</v>
      </c>
      <c r="C295" t="s">
        <v>6</v>
      </c>
      <c r="D295" t="s">
        <v>46</v>
      </c>
      <c r="E295" t="s">
        <v>41</v>
      </c>
      <c r="F295" t="s">
        <v>54</v>
      </c>
      <c r="G295" t="s">
        <v>43</v>
      </c>
      <c r="H295" t="s">
        <v>44</v>
      </c>
      <c r="I295" t="s">
        <v>44</v>
      </c>
      <c r="J295" t="s">
        <v>45</v>
      </c>
      <c r="K295" s="9">
        <v>16</v>
      </c>
      <c r="L295" s="10">
        <f>IFERROR(VLOOKUP(C295,Parâmetros!$A$5:$D$7,IF(D295="Mensal",2,IF(D295="Trimestral",3,4)),0),0)</f>
        <v>9.99</v>
      </c>
      <c r="M295" s="10">
        <f>IF(G295="Sim",VLOOKUP("EA Play",Parâmetros!$A$11:$B$13,2,0),0)*K295</f>
        <v>79.84</v>
      </c>
      <c r="N295" s="10">
        <f>IF(H295="Sim",VLOOKUP("Minecraft Pass",Parâmetros!$A$11:$B$13,2,0),0)*K295</f>
        <v>0</v>
      </c>
      <c r="O295" s="10">
        <f>IF(I295="Sim",VLOOKUP("Call of Duty Pass",Parâmetros!$A$11:$B$13,2,0),0)*K295</f>
        <v>0</v>
      </c>
      <c r="P295" s="10">
        <f>(L295*K295+M295+N295+O295)*IF(F295="Promoção",1-Parâmetros!$B$22,1)</f>
        <v>215.71200000000002</v>
      </c>
      <c r="Q295" s="10">
        <f>Parâmetros!$B$20*K295</f>
        <v>192</v>
      </c>
      <c r="R295" s="10">
        <f>P295-Q295</f>
        <v>23.712000000000018</v>
      </c>
    </row>
    <row r="296" spans="1:18">
      <c r="A296">
        <v>295</v>
      </c>
      <c r="B296" s="8">
        <v>45388</v>
      </c>
      <c r="C296" t="s">
        <v>7</v>
      </c>
      <c r="D296" t="s">
        <v>50</v>
      </c>
      <c r="E296" t="s">
        <v>41</v>
      </c>
      <c r="F296" t="s">
        <v>42</v>
      </c>
      <c r="G296" t="s">
        <v>44</v>
      </c>
      <c r="H296" t="s">
        <v>44</v>
      </c>
      <c r="I296" t="s">
        <v>43</v>
      </c>
      <c r="J296" t="s">
        <v>45</v>
      </c>
      <c r="K296" s="9">
        <v>24</v>
      </c>
      <c r="L296" s="10">
        <f>IFERROR(VLOOKUP(C296,Parâmetros!$A$5:$D$7,IF(D296="Mensal",2,IF(D296="Trimestral",3,4)),0),0)</f>
        <v>149</v>
      </c>
      <c r="M296" s="10">
        <f>IF(G296="Sim",VLOOKUP("EA Play",Parâmetros!$A$11:$B$13,2,0),0)*K296</f>
        <v>0</v>
      </c>
      <c r="N296" s="10">
        <f>IF(H296="Sim",VLOOKUP("Minecraft Pass",Parâmetros!$A$11:$B$13,2,0),0)*K296</f>
        <v>0</v>
      </c>
      <c r="O296" s="10">
        <f>IF(I296="Sim",VLOOKUP("Call of Duty Pass",Parâmetros!$A$11:$B$13,2,0),0)*K296</f>
        <v>167.76</v>
      </c>
      <c r="P296" s="10">
        <f>(L296*K296+M296+N296+O296)*IF(F296="Promoção",1-Parâmetros!$B$22,1)</f>
        <v>3743.76</v>
      </c>
      <c r="Q296" s="10">
        <f>Parâmetros!$B$20*K296</f>
        <v>288</v>
      </c>
      <c r="R296" s="10">
        <f>P296-Q296</f>
        <v>3455.76</v>
      </c>
    </row>
    <row r="297" spans="1:18">
      <c r="A297">
        <v>296</v>
      </c>
      <c r="B297" s="8">
        <v>45994</v>
      </c>
      <c r="C297" t="s">
        <v>7</v>
      </c>
      <c r="D297" t="s">
        <v>40</v>
      </c>
      <c r="E297" t="s">
        <v>47</v>
      </c>
      <c r="F297" t="s">
        <v>42</v>
      </c>
      <c r="G297" t="s">
        <v>44</v>
      </c>
      <c r="H297" t="s">
        <v>43</v>
      </c>
      <c r="I297" t="s">
        <v>43</v>
      </c>
      <c r="J297" t="s">
        <v>45</v>
      </c>
      <c r="K297" s="9">
        <v>29</v>
      </c>
      <c r="L297" s="10">
        <f>IFERROR(VLOOKUP(C297,Parâmetros!$A$5:$D$7,IF(D297="Mensal",2,IF(D297="Trimestral",3,4)),0),0)</f>
        <v>40</v>
      </c>
      <c r="M297" s="10">
        <f>IF(G297="Sim",VLOOKUP("EA Play",Parâmetros!$A$11:$B$13,2,0),0)*K297</f>
        <v>0</v>
      </c>
      <c r="N297" s="10">
        <f>IF(H297="Sim",VLOOKUP("Minecraft Pass",Parâmetros!$A$11:$B$13,2,0),0)*K297</f>
        <v>115.71000000000001</v>
      </c>
      <c r="O297" s="10">
        <f>IF(I297="Sim",VLOOKUP("Call of Duty Pass",Parâmetros!$A$11:$B$13,2,0),0)*K297</f>
        <v>202.71</v>
      </c>
      <c r="P297" s="10">
        <f>(L297*K297+M297+N297+O297)*IF(F297="Promoção",1-Parâmetros!$B$22,1)</f>
        <v>1478.42</v>
      </c>
      <c r="Q297" s="10">
        <f>Parâmetros!$B$20*K297</f>
        <v>348</v>
      </c>
      <c r="R297" s="10">
        <f>P297-Q297</f>
        <v>1130.42</v>
      </c>
    </row>
    <row r="298" spans="1:18">
      <c r="A298">
        <v>297</v>
      </c>
      <c r="B298" s="8">
        <v>45423</v>
      </c>
      <c r="C298" t="s">
        <v>6</v>
      </c>
      <c r="D298" t="s">
        <v>50</v>
      </c>
      <c r="E298" t="s">
        <v>51</v>
      </c>
      <c r="F298" t="s">
        <v>42</v>
      </c>
      <c r="G298" t="s">
        <v>44</v>
      </c>
      <c r="H298" t="s">
        <v>43</v>
      </c>
      <c r="I298" t="s">
        <v>44</v>
      </c>
      <c r="J298" t="s">
        <v>49</v>
      </c>
      <c r="K298" s="9">
        <v>26</v>
      </c>
      <c r="L298" s="10">
        <f>IFERROR(VLOOKUP(C298,Parâmetros!$A$5:$D$7,IF(D298="Mensal",2,IF(D298="Trimestral",3,4)),0),0)</f>
        <v>99</v>
      </c>
      <c r="M298" s="10">
        <f>IF(G298="Sim",VLOOKUP("EA Play",Parâmetros!$A$11:$B$13,2,0),0)*K298</f>
        <v>0</v>
      </c>
      <c r="N298" s="10">
        <f>IF(H298="Sim",VLOOKUP("Minecraft Pass",Parâmetros!$A$11:$B$13,2,0),0)*K298</f>
        <v>103.74000000000001</v>
      </c>
      <c r="O298" s="10">
        <f>IF(I298="Sim",VLOOKUP("Call of Duty Pass",Parâmetros!$A$11:$B$13,2,0),0)*K298</f>
        <v>0</v>
      </c>
      <c r="P298" s="10">
        <f>(L298*K298+M298+N298+O298)*IF(F298="Promoção",1-Parâmetros!$B$22,1)</f>
        <v>2677.74</v>
      </c>
      <c r="Q298" s="10">
        <f>Parâmetros!$B$20*K298</f>
        <v>312</v>
      </c>
      <c r="R298" s="10">
        <f>P298-Q298</f>
        <v>2365.7399999999998</v>
      </c>
    </row>
    <row r="299" spans="1:18">
      <c r="A299">
        <v>298</v>
      </c>
      <c r="B299" s="8">
        <v>45800</v>
      </c>
      <c r="C299" t="s">
        <v>6</v>
      </c>
      <c r="D299" t="s">
        <v>40</v>
      </c>
      <c r="E299" t="s">
        <v>41</v>
      </c>
      <c r="F299" t="s">
        <v>42</v>
      </c>
      <c r="G299" t="s">
        <v>43</v>
      </c>
      <c r="H299" t="s">
        <v>43</v>
      </c>
      <c r="I299" t="s">
        <v>44</v>
      </c>
      <c r="J299" t="s">
        <v>49</v>
      </c>
      <c r="K299" s="9">
        <v>16</v>
      </c>
      <c r="L299" s="10">
        <f>IFERROR(VLOOKUP(C299,Parâmetros!$A$5:$D$7,IF(D299="Mensal",2,IF(D299="Trimestral",3,4)),0),0)</f>
        <v>27</v>
      </c>
      <c r="M299" s="10">
        <f>IF(G299="Sim",VLOOKUP("EA Play",Parâmetros!$A$11:$B$13,2,0),0)*K299</f>
        <v>79.84</v>
      </c>
      <c r="N299" s="10">
        <f>IF(H299="Sim",VLOOKUP("Minecraft Pass",Parâmetros!$A$11:$B$13,2,0),0)*K299</f>
        <v>63.84</v>
      </c>
      <c r="O299" s="10">
        <f>IF(I299="Sim",VLOOKUP("Call of Duty Pass",Parâmetros!$A$11:$B$13,2,0),0)*K299</f>
        <v>0</v>
      </c>
      <c r="P299" s="10">
        <f>(L299*K299+M299+N299+O299)*IF(F299="Promoção",1-Parâmetros!$B$22,1)</f>
        <v>575.68000000000006</v>
      </c>
      <c r="Q299" s="10">
        <f>Parâmetros!$B$20*K299</f>
        <v>192</v>
      </c>
      <c r="R299" s="10">
        <f>P299-Q299</f>
        <v>383.68000000000006</v>
      </c>
    </row>
    <row r="300" spans="1:18">
      <c r="A300">
        <v>299</v>
      </c>
      <c r="B300" s="8">
        <v>45954</v>
      </c>
      <c r="C300" t="s">
        <v>6</v>
      </c>
      <c r="D300" t="s">
        <v>46</v>
      </c>
      <c r="E300" t="s">
        <v>47</v>
      </c>
      <c r="F300" t="s">
        <v>42</v>
      </c>
      <c r="G300" t="s">
        <v>43</v>
      </c>
      <c r="H300" t="s">
        <v>43</v>
      </c>
      <c r="I300" t="s">
        <v>43</v>
      </c>
      <c r="J300" t="s">
        <v>45</v>
      </c>
      <c r="K300" s="9">
        <v>34</v>
      </c>
      <c r="L300" s="10">
        <f>IFERROR(VLOOKUP(C300,Parâmetros!$A$5:$D$7,IF(D300="Mensal",2,IF(D300="Trimestral",3,4)),0),0)</f>
        <v>9.99</v>
      </c>
      <c r="M300" s="10">
        <f>IF(G300="Sim",VLOOKUP("EA Play",Parâmetros!$A$11:$B$13,2,0),0)*K300</f>
        <v>169.66</v>
      </c>
      <c r="N300" s="10">
        <f>IF(H300="Sim",VLOOKUP("Minecraft Pass",Parâmetros!$A$11:$B$13,2,0),0)*K300</f>
        <v>135.66</v>
      </c>
      <c r="O300" s="10">
        <f>IF(I300="Sim",VLOOKUP("Call of Duty Pass",Parâmetros!$A$11:$B$13,2,0),0)*K300</f>
        <v>237.66</v>
      </c>
      <c r="P300" s="10">
        <f>(L300*K300+M300+N300+O300)*IF(F300="Promoção",1-Parâmetros!$B$22,1)</f>
        <v>882.64</v>
      </c>
      <c r="Q300" s="10">
        <f>Parâmetros!$B$20*K300</f>
        <v>408</v>
      </c>
      <c r="R300" s="10">
        <f>P300-Q300</f>
        <v>474.64</v>
      </c>
    </row>
    <row r="301" spans="1:18">
      <c r="A301">
        <v>300</v>
      </c>
      <c r="B301" s="8">
        <v>45547</v>
      </c>
      <c r="C301" t="s">
        <v>7</v>
      </c>
      <c r="D301" t="s">
        <v>50</v>
      </c>
      <c r="E301" t="s">
        <v>51</v>
      </c>
      <c r="F301" t="s">
        <v>54</v>
      </c>
      <c r="G301" t="s">
        <v>44</v>
      </c>
      <c r="H301" t="s">
        <v>43</v>
      </c>
      <c r="I301" t="s">
        <v>44</v>
      </c>
      <c r="J301" t="s">
        <v>49</v>
      </c>
      <c r="K301" s="9">
        <v>33</v>
      </c>
      <c r="L301" s="10">
        <f>IFERROR(VLOOKUP(C301,Parâmetros!$A$5:$D$7,IF(D301="Mensal",2,IF(D301="Trimestral",3,4)),0),0)</f>
        <v>149</v>
      </c>
      <c r="M301" s="10">
        <f>IF(G301="Sim",VLOOKUP("EA Play",Parâmetros!$A$11:$B$13,2,0),0)*K301</f>
        <v>0</v>
      </c>
      <c r="N301" s="10">
        <f>IF(H301="Sim",VLOOKUP("Minecraft Pass",Parâmetros!$A$11:$B$13,2,0),0)*K301</f>
        <v>131.67000000000002</v>
      </c>
      <c r="O301" s="10">
        <f>IF(I301="Sim",VLOOKUP("Call of Duty Pass",Parâmetros!$A$11:$B$13,2,0),0)*K301</f>
        <v>0</v>
      </c>
      <c r="P301" s="10">
        <f>(L301*K301+M301+N301+O301)*IF(F301="Promoção",1-Parâmetros!$B$22,1)</f>
        <v>4543.8029999999999</v>
      </c>
      <c r="Q301" s="10">
        <f>Parâmetros!$B$20*K301</f>
        <v>396</v>
      </c>
      <c r="R301" s="10">
        <f>P301-Q301</f>
        <v>4147.8029999999999</v>
      </c>
    </row>
    <row r="302" spans="1:18">
      <c r="A302">
        <v>301</v>
      </c>
      <c r="B302" s="8">
        <v>45621</v>
      </c>
      <c r="C302" t="s">
        <v>6</v>
      </c>
      <c r="D302" t="s">
        <v>46</v>
      </c>
      <c r="E302" t="s">
        <v>41</v>
      </c>
      <c r="F302" t="s">
        <v>42</v>
      </c>
      <c r="G302" t="s">
        <v>44</v>
      </c>
      <c r="H302" t="s">
        <v>44</v>
      </c>
      <c r="I302" t="s">
        <v>43</v>
      </c>
      <c r="J302" t="s">
        <v>45</v>
      </c>
      <c r="K302" s="9">
        <v>34</v>
      </c>
      <c r="L302" s="10">
        <f>IFERROR(VLOOKUP(C302,Parâmetros!$A$5:$D$7,IF(D302="Mensal",2,IF(D302="Trimestral",3,4)),0),0)</f>
        <v>9.99</v>
      </c>
      <c r="M302" s="10">
        <f>IF(G302="Sim",VLOOKUP("EA Play",Parâmetros!$A$11:$B$13,2,0),0)*K302</f>
        <v>0</v>
      </c>
      <c r="N302" s="10">
        <f>IF(H302="Sim",VLOOKUP("Minecraft Pass",Parâmetros!$A$11:$B$13,2,0),0)*K302</f>
        <v>0</v>
      </c>
      <c r="O302" s="10">
        <f>IF(I302="Sim",VLOOKUP("Call of Duty Pass",Parâmetros!$A$11:$B$13,2,0),0)*K302</f>
        <v>237.66</v>
      </c>
      <c r="P302" s="10">
        <f>(L302*K302+M302+N302+O302)*IF(F302="Promoção",1-Parâmetros!$B$22,1)</f>
        <v>577.32000000000005</v>
      </c>
      <c r="Q302" s="10">
        <f>Parâmetros!$B$20*K302</f>
        <v>408</v>
      </c>
      <c r="R302" s="10">
        <f>P302-Q302</f>
        <v>169.32000000000005</v>
      </c>
    </row>
    <row r="303" spans="1:18">
      <c r="A303">
        <v>302</v>
      </c>
      <c r="B303" s="8">
        <v>45658</v>
      </c>
      <c r="C303" t="s">
        <v>8</v>
      </c>
      <c r="D303" t="s">
        <v>50</v>
      </c>
      <c r="E303" t="s">
        <v>53</v>
      </c>
      <c r="F303" t="s">
        <v>42</v>
      </c>
      <c r="G303" t="s">
        <v>44</v>
      </c>
      <c r="H303" t="s">
        <v>43</v>
      </c>
      <c r="I303" t="s">
        <v>44</v>
      </c>
      <c r="J303" t="s">
        <v>45</v>
      </c>
      <c r="K303" s="9">
        <v>4</v>
      </c>
      <c r="L303" s="10">
        <f>IFERROR(VLOOKUP(C303,Parâmetros!$A$5:$D$7,IF(D303="Mensal",2,IF(D303="Trimestral",3,4)),0),0)</f>
        <v>219</v>
      </c>
      <c r="M303" s="10">
        <f>IF(G303="Sim",VLOOKUP("EA Play",Parâmetros!$A$11:$B$13,2,0),0)*K303</f>
        <v>0</v>
      </c>
      <c r="N303" s="10">
        <f>IF(H303="Sim",VLOOKUP("Minecraft Pass",Parâmetros!$A$11:$B$13,2,0),0)*K303</f>
        <v>15.96</v>
      </c>
      <c r="O303" s="10">
        <f>IF(I303="Sim",VLOOKUP("Call of Duty Pass",Parâmetros!$A$11:$B$13,2,0),0)*K303</f>
        <v>0</v>
      </c>
      <c r="P303" s="10">
        <f>(L303*K303+M303+N303+O303)*IF(F303="Promoção",1-Parâmetros!$B$22,1)</f>
        <v>891.96</v>
      </c>
      <c r="Q303" s="10">
        <f>Parâmetros!$B$20*K303</f>
        <v>48</v>
      </c>
      <c r="R303" s="10">
        <f>P303-Q303</f>
        <v>843.96</v>
      </c>
    </row>
    <row r="304" spans="1:18">
      <c r="A304">
        <v>303</v>
      </c>
      <c r="B304" s="8">
        <v>45516</v>
      </c>
      <c r="C304" t="s">
        <v>7</v>
      </c>
      <c r="D304" t="s">
        <v>50</v>
      </c>
      <c r="E304" t="s">
        <v>41</v>
      </c>
      <c r="F304" t="s">
        <v>54</v>
      </c>
      <c r="G304" t="s">
        <v>44</v>
      </c>
      <c r="H304" t="s">
        <v>43</v>
      </c>
      <c r="I304" t="s">
        <v>43</v>
      </c>
      <c r="J304" t="s">
        <v>49</v>
      </c>
      <c r="K304" s="9">
        <v>23</v>
      </c>
      <c r="L304" s="10">
        <f>IFERROR(VLOOKUP(C304,Parâmetros!$A$5:$D$7,IF(D304="Mensal",2,IF(D304="Trimestral",3,4)),0),0)</f>
        <v>149</v>
      </c>
      <c r="M304" s="10">
        <f>IF(G304="Sim",VLOOKUP("EA Play",Parâmetros!$A$11:$B$13,2,0),0)*K304</f>
        <v>0</v>
      </c>
      <c r="N304" s="10">
        <f>IF(H304="Sim",VLOOKUP("Minecraft Pass",Parâmetros!$A$11:$B$13,2,0),0)*K304</f>
        <v>91.77000000000001</v>
      </c>
      <c r="O304" s="10">
        <f>IF(I304="Sim",VLOOKUP("Call of Duty Pass",Parâmetros!$A$11:$B$13,2,0),0)*K304</f>
        <v>160.77000000000001</v>
      </c>
      <c r="P304" s="10">
        <f>(L304*K304+M304+N304+O304)*IF(F304="Promoção",1-Parâmetros!$B$22,1)</f>
        <v>3311.5860000000002</v>
      </c>
      <c r="Q304" s="10">
        <f>Parâmetros!$B$20*K304</f>
        <v>276</v>
      </c>
      <c r="R304" s="10">
        <f>P304-Q304</f>
        <v>3035.5860000000002</v>
      </c>
    </row>
    <row r="305" spans="1:18">
      <c r="A305">
        <v>304</v>
      </c>
      <c r="B305" s="8">
        <v>45897</v>
      </c>
      <c r="C305" t="s">
        <v>6</v>
      </c>
      <c r="D305" t="s">
        <v>40</v>
      </c>
      <c r="E305" t="s">
        <v>53</v>
      </c>
      <c r="F305" t="s">
        <v>48</v>
      </c>
      <c r="G305" t="s">
        <v>44</v>
      </c>
      <c r="H305" t="s">
        <v>43</v>
      </c>
      <c r="I305" t="s">
        <v>44</v>
      </c>
      <c r="J305" t="s">
        <v>45</v>
      </c>
      <c r="K305" s="9">
        <v>32</v>
      </c>
      <c r="L305" s="10">
        <f>IFERROR(VLOOKUP(C305,Parâmetros!$A$5:$D$7,IF(D305="Mensal",2,IF(D305="Trimestral",3,4)),0),0)</f>
        <v>27</v>
      </c>
      <c r="M305" s="10">
        <f>IF(G305="Sim",VLOOKUP("EA Play",Parâmetros!$A$11:$B$13,2,0),0)*K305</f>
        <v>0</v>
      </c>
      <c r="N305" s="10">
        <f>IF(H305="Sim",VLOOKUP("Minecraft Pass",Parâmetros!$A$11:$B$13,2,0),0)*K305</f>
        <v>127.68</v>
      </c>
      <c r="O305" s="10">
        <f>IF(I305="Sim",VLOOKUP("Call of Duty Pass",Parâmetros!$A$11:$B$13,2,0),0)*K305</f>
        <v>0</v>
      </c>
      <c r="P305" s="10">
        <f>(L305*K305+M305+N305+O305)*IF(F305="Promoção",1-Parâmetros!$B$22,1)</f>
        <v>991.68000000000006</v>
      </c>
      <c r="Q305" s="10">
        <f>Parâmetros!$B$20*K305</f>
        <v>384</v>
      </c>
      <c r="R305" s="10">
        <f>P305-Q305</f>
        <v>607.68000000000006</v>
      </c>
    </row>
    <row r="306" spans="1:18">
      <c r="A306">
        <v>305</v>
      </c>
      <c r="B306" s="8">
        <v>45847</v>
      </c>
      <c r="C306" t="s">
        <v>6</v>
      </c>
      <c r="D306" t="s">
        <v>46</v>
      </c>
      <c r="E306" t="s">
        <v>41</v>
      </c>
      <c r="F306" t="s">
        <v>42</v>
      </c>
      <c r="G306" t="s">
        <v>43</v>
      </c>
      <c r="H306" t="s">
        <v>44</v>
      </c>
      <c r="I306" t="s">
        <v>43</v>
      </c>
      <c r="J306" t="s">
        <v>45</v>
      </c>
      <c r="K306" s="9">
        <v>13</v>
      </c>
      <c r="L306" s="10">
        <f>IFERROR(VLOOKUP(C306,Parâmetros!$A$5:$D$7,IF(D306="Mensal",2,IF(D306="Trimestral",3,4)),0),0)</f>
        <v>9.99</v>
      </c>
      <c r="M306" s="10">
        <f>IF(G306="Sim",VLOOKUP("EA Play",Parâmetros!$A$11:$B$13,2,0),0)*K306</f>
        <v>64.87</v>
      </c>
      <c r="N306" s="10">
        <f>IF(H306="Sim",VLOOKUP("Minecraft Pass",Parâmetros!$A$11:$B$13,2,0),0)*K306</f>
        <v>0</v>
      </c>
      <c r="O306" s="10">
        <f>IF(I306="Sim",VLOOKUP("Call of Duty Pass",Parâmetros!$A$11:$B$13,2,0),0)*K306</f>
        <v>90.87</v>
      </c>
      <c r="P306" s="10">
        <f>(L306*K306+M306+N306+O306)*IF(F306="Promoção",1-Parâmetros!$B$22,1)</f>
        <v>285.61</v>
      </c>
      <c r="Q306" s="10">
        <f>Parâmetros!$B$20*K306</f>
        <v>156</v>
      </c>
      <c r="R306" s="10">
        <f>P306-Q306</f>
        <v>129.61000000000001</v>
      </c>
    </row>
    <row r="307" spans="1:18">
      <c r="A307">
        <v>306</v>
      </c>
      <c r="B307" s="8">
        <v>45425</v>
      </c>
      <c r="C307" t="s">
        <v>6</v>
      </c>
      <c r="D307" t="s">
        <v>46</v>
      </c>
      <c r="E307" t="s">
        <v>51</v>
      </c>
      <c r="F307" t="s">
        <v>54</v>
      </c>
      <c r="G307" t="s">
        <v>43</v>
      </c>
      <c r="H307" t="s">
        <v>43</v>
      </c>
      <c r="I307" t="s">
        <v>44</v>
      </c>
      <c r="J307" t="s">
        <v>49</v>
      </c>
      <c r="K307" s="9">
        <v>8</v>
      </c>
      <c r="L307" s="10">
        <f>IFERROR(VLOOKUP(C307,Parâmetros!$A$5:$D$7,IF(D307="Mensal",2,IF(D307="Trimestral",3,4)),0),0)</f>
        <v>9.99</v>
      </c>
      <c r="M307" s="10">
        <f>IF(G307="Sim",VLOOKUP("EA Play",Parâmetros!$A$11:$B$13,2,0),0)*K307</f>
        <v>39.92</v>
      </c>
      <c r="N307" s="10">
        <f>IF(H307="Sim",VLOOKUP("Minecraft Pass",Parâmetros!$A$11:$B$13,2,0),0)*K307</f>
        <v>31.92</v>
      </c>
      <c r="O307" s="10">
        <f>IF(I307="Sim",VLOOKUP("Call of Duty Pass",Parâmetros!$A$11:$B$13,2,0),0)*K307</f>
        <v>0</v>
      </c>
      <c r="P307" s="10">
        <f>(L307*K307+M307+N307+O307)*IF(F307="Promoção",1-Parâmetros!$B$22,1)</f>
        <v>136.584</v>
      </c>
      <c r="Q307" s="10">
        <f>Parâmetros!$B$20*K307</f>
        <v>96</v>
      </c>
      <c r="R307" s="10">
        <f>P307-Q307</f>
        <v>40.584000000000003</v>
      </c>
    </row>
    <row r="308" spans="1:18">
      <c r="A308">
        <v>307</v>
      </c>
      <c r="B308" s="8">
        <v>45830</v>
      </c>
      <c r="C308" t="s">
        <v>8</v>
      </c>
      <c r="D308" t="s">
        <v>50</v>
      </c>
      <c r="E308" t="s">
        <v>41</v>
      </c>
      <c r="F308" t="s">
        <v>54</v>
      </c>
      <c r="G308" t="s">
        <v>43</v>
      </c>
      <c r="H308" t="s">
        <v>43</v>
      </c>
      <c r="I308" t="s">
        <v>44</v>
      </c>
      <c r="J308" t="s">
        <v>49</v>
      </c>
      <c r="K308" s="9">
        <v>11</v>
      </c>
      <c r="L308" s="10">
        <f>IFERROR(VLOOKUP(C308,Parâmetros!$A$5:$D$7,IF(D308="Mensal",2,IF(D308="Trimestral",3,4)),0),0)</f>
        <v>219</v>
      </c>
      <c r="M308" s="10">
        <f>IF(G308="Sim",VLOOKUP("EA Play",Parâmetros!$A$11:$B$13,2,0),0)*K308</f>
        <v>54.89</v>
      </c>
      <c r="N308" s="10">
        <f>IF(H308="Sim",VLOOKUP("Minecraft Pass",Parâmetros!$A$11:$B$13,2,0),0)*K308</f>
        <v>43.89</v>
      </c>
      <c r="O308" s="10">
        <f>IF(I308="Sim",VLOOKUP("Call of Duty Pass",Parâmetros!$A$11:$B$13,2,0),0)*K308</f>
        <v>0</v>
      </c>
      <c r="P308" s="10">
        <f>(L308*K308+M308+N308+O308)*IF(F308="Promoção",1-Parâmetros!$B$22,1)</f>
        <v>2257.002</v>
      </c>
      <c r="Q308" s="10">
        <f>Parâmetros!$B$20*K308</f>
        <v>132</v>
      </c>
      <c r="R308" s="10">
        <f>P308-Q308</f>
        <v>2125.002</v>
      </c>
    </row>
    <row r="309" spans="1:18">
      <c r="A309">
        <v>308</v>
      </c>
      <c r="B309" s="8">
        <v>45739</v>
      </c>
      <c r="C309" t="s">
        <v>8</v>
      </c>
      <c r="D309" t="s">
        <v>50</v>
      </c>
      <c r="E309" t="s">
        <v>51</v>
      </c>
      <c r="F309" t="s">
        <v>42</v>
      </c>
      <c r="G309" t="s">
        <v>44</v>
      </c>
      <c r="H309" t="s">
        <v>44</v>
      </c>
      <c r="I309" t="s">
        <v>44</v>
      </c>
      <c r="J309" t="s">
        <v>45</v>
      </c>
      <c r="K309" s="9">
        <v>15</v>
      </c>
      <c r="L309" s="10">
        <f>IFERROR(VLOOKUP(C309,Parâmetros!$A$5:$D$7,IF(D309="Mensal",2,IF(D309="Trimestral",3,4)),0),0)</f>
        <v>219</v>
      </c>
      <c r="M309" s="10">
        <f>IF(G309="Sim",VLOOKUP("EA Play",Parâmetros!$A$11:$B$13,2,0),0)*K309</f>
        <v>0</v>
      </c>
      <c r="N309" s="10">
        <f>IF(H309="Sim",VLOOKUP("Minecraft Pass",Parâmetros!$A$11:$B$13,2,0),0)*K309</f>
        <v>0</v>
      </c>
      <c r="O309" s="10">
        <f>IF(I309="Sim",VLOOKUP("Call of Duty Pass",Parâmetros!$A$11:$B$13,2,0),0)*K309</f>
        <v>0</v>
      </c>
      <c r="P309" s="10">
        <f>(L309*K309+M309+N309+O309)*IF(F309="Promoção",1-Parâmetros!$B$22,1)</f>
        <v>3285</v>
      </c>
      <c r="Q309" s="10">
        <f>Parâmetros!$B$20*K309</f>
        <v>180</v>
      </c>
      <c r="R309" s="10">
        <f>P309-Q309</f>
        <v>3105</v>
      </c>
    </row>
    <row r="310" spans="1:18">
      <c r="A310">
        <v>309</v>
      </c>
      <c r="B310" s="8">
        <v>45973</v>
      </c>
      <c r="C310" t="s">
        <v>7</v>
      </c>
      <c r="D310" t="s">
        <v>46</v>
      </c>
      <c r="E310" t="s">
        <v>41</v>
      </c>
      <c r="F310" t="s">
        <v>52</v>
      </c>
      <c r="G310" t="s">
        <v>43</v>
      </c>
      <c r="H310" t="s">
        <v>44</v>
      </c>
      <c r="I310" t="s">
        <v>44</v>
      </c>
      <c r="J310" t="s">
        <v>45</v>
      </c>
      <c r="K310" s="9">
        <v>26</v>
      </c>
      <c r="L310" s="10">
        <f>IFERROR(VLOOKUP(C310,Parâmetros!$A$5:$D$7,IF(D310="Mensal",2,IF(D310="Trimestral",3,4)),0),0)</f>
        <v>14.99</v>
      </c>
      <c r="M310" s="10">
        <f>IF(G310="Sim",VLOOKUP("EA Play",Parâmetros!$A$11:$B$13,2,0),0)*K310</f>
        <v>129.74</v>
      </c>
      <c r="N310" s="10">
        <f>IF(H310="Sim",VLOOKUP("Minecraft Pass",Parâmetros!$A$11:$B$13,2,0),0)*K310</f>
        <v>0</v>
      </c>
      <c r="O310" s="10">
        <f>IF(I310="Sim",VLOOKUP("Call of Duty Pass",Parâmetros!$A$11:$B$13,2,0),0)*K310</f>
        <v>0</v>
      </c>
      <c r="P310" s="10">
        <f>(L310*K310+M310+N310+O310)*IF(F310="Promoção",1-Parâmetros!$B$22,1)</f>
        <v>519.48</v>
      </c>
      <c r="Q310" s="10">
        <f>Parâmetros!$B$20*K310</f>
        <v>312</v>
      </c>
      <c r="R310" s="10">
        <f>P310-Q310</f>
        <v>207.48000000000002</v>
      </c>
    </row>
    <row r="311" spans="1:18">
      <c r="A311">
        <v>310</v>
      </c>
      <c r="B311" s="8">
        <v>45873</v>
      </c>
      <c r="C311" t="s">
        <v>6</v>
      </c>
      <c r="D311" t="s">
        <v>40</v>
      </c>
      <c r="E311" t="s">
        <v>55</v>
      </c>
      <c r="F311" t="s">
        <v>54</v>
      </c>
      <c r="G311" t="s">
        <v>43</v>
      </c>
      <c r="H311" t="s">
        <v>44</v>
      </c>
      <c r="I311" t="s">
        <v>44</v>
      </c>
      <c r="J311" t="s">
        <v>49</v>
      </c>
      <c r="K311" s="9">
        <v>5</v>
      </c>
      <c r="L311" s="10">
        <f>IFERROR(VLOOKUP(C311,Parâmetros!$A$5:$D$7,IF(D311="Mensal",2,IF(D311="Trimestral",3,4)),0),0)</f>
        <v>27</v>
      </c>
      <c r="M311" s="10">
        <f>IF(G311="Sim",VLOOKUP("EA Play",Parâmetros!$A$11:$B$13,2,0),0)*K311</f>
        <v>24.950000000000003</v>
      </c>
      <c r="N311" s="10">
        <f>IF(H311="Sim",VLOOKUP("Minecraft Pass",Parâmetros!$A$11:$B$13,2,0),0)*K311</f>
        <v>0</v>
      </c>
      <c r="O311" s="10">
        <f>IF(I311="Sim",VLOOKUP("Call of Duty Pass",Parâmetros!$A$11:$B$13,2,0),0)*K311</f>
        <v>0</v>
      </c>
      <c r="P311" s="10">
        <f>(L311*K311+M311+N311+O311)*IF(F311="Promoção",1-Parâmetros!$B$22,1)</f>
        <v>143.95499999999998</v>
      </c>
      <c r="Q311" s="10">
        <f>Parâmetros!$B$20*K311</f>
        <v>60</v>
      </c>
      <c r="R311" s="10">
        <f>P311-Q311</f>
        <v>83.954999999999984</v>
      </c>
    </row>
    <row r="312" spans="1:18">
      <c r="A312">
        <v>311</v>
      </c>
      <c r="B312" s="8">
        <v>45535</v>
      </c>
      <c r="C312" t="s">
        <v>6</v>
      </c>
      <c r="D312" t="s">
        <v>46</v>
      </c>
      <c r="E312" t="s">
        <v>47</v>
      </c>
      <c r="F312" t="s">
        <v>54</v>
      </c>
      <c r="G312" t="s">
        <v>44</v>
      </c>
      <c r="H312" t="s">
        <v>44</v>
      </c>
      <c r="I312" t="s">
        <v>44</v>
      </c>
      <c r="J312" t="s">
        <v>49</v>
      </c>
      <c r="K312" s="9">
        <v>1</v>
      </c>
      <c r="L312" s="10">
        <f>IFERROR(VLOOKUP(C312,Parâmetros!$A$5:$D$7,IF(D312="Mensal",2,IF(D312="Trimestral",3,4)),0),0)</f>
        <v>9.99</v>
      </c>
      <c r="M312" s="10">
        <f>IF(G312="Sim",VLOOKUP("EA Play",Parâmetros!$A$11:$B$13,2,0),0)*K312</f>
        <v>0</v>
      </c>
      <c r="N312" s="10">
        <f>IF(H312="Sim",VLOOKUP("Minecraft Pass",Parâmetros!$A$11:$B$13,2,0),0)*K312</f>
        <v>0</v>
      </c>
      <c r="O312" s="10">
        <f>IF(I312="Sim",VLOOKUP("Call of Duty Pass",Parâmetros!$A$11:$B$13,2,0),0)*K312</f>
        <v>0</v>
      </c>
      <c r="P312" s="10">
        <f>(L312*K312+M312+N312+O312)*IF(F312="Promoção",1-Parâmetros!$B$22,1)</f>
        <v>8.9909999999999997</v>
      </c>
      <c r="Q312" s="10">
        <f>Parâmetros!$B$20*K312</f>
        <v>12</v>
      </c>
      <c r="R312" s="10">
        <f>P312-Q312</f>
        <v>-3.0090000000000003</v>
      </c>
    </row>
    <row r="313" spans="1:18">
      <c r="A313">
        <v>312</v>
      </c>
      <c r="B313" s="8">
        <v>45563</v>
      </c>
      <c r="C313" t="s">
        <v>6</v>
      </c>
      <c r="D313" t="s">
        <v>40</v>
      </c>
      <c r="E313" t="s">
        <v>41</v>
      </c>
      <c r="F313" t="s">
        <v>52</v>
      </c>
      <c r="G313" t="s">
        <v>44</v>
      </c>
      <c r="H313" t="s">
        <v>43</v>
      </c>
      <c r="I313" t="s">
        <v>44</v>
      </c>
      <c r="J313" t="s">
        <v>49</v>
      </c>
      <c r="K313" s="9">
        <v>11</v>
      </c>
      <c r="L313" s="10">
        <f>IFERROR(VLOOKUP(C313,Parâmetros!$A$5:$D$7,IF(D313="Mensal",2,IF(D313="Trimestral",3,4)),0),0)</f>
        <v>27</v>
      </c>
      <c r="M313" s="10">
        <f>IF(G313="Sim",VLOOKUP("EA Play",Parâmetros!$A$11:$B$13,2,0),0)*K313</f>
        <v>0</v>
      </c>
      <c r="N313" s="10">
        <f>IF(H313="Sim",VLOOKUP("Minecraft Pass",Parâmetros!$A$11:$B$13,2,0),0)*K313</f>
        <v>43.89</v>
      </c>
      <c r="O313" s="10">
        <f>IF(I313="Sim",VLOOKUP("Call of Duty Pass",Parâmetros!$A$11:$B$13,2,0),0)*K313</f>
        <v>0</v>
      </c>
      <c r="P313" s="10">
        <f>(L313*K313+M313+N313+O313)*IF(F313="Promoção",1-Parâmetros!$B$22,1)</f>
        <v>340.89</v>
      </c>
      <c r="Q313" s="10">
        <f>Parâmetros!$B$20*K313</f>
        <v>132</v>
      </c>
      <c r="R313" s="10">
        <f>P313-Q313</f>
        <v>208.89</v>
      </c>
    </row>
    <row r="314" spans="1:18">
      <c r="A314">
        <v>313</v>
      </c>
      <c r="B314" s="8">
        <v>45715</v>
      </c>
      <c r="C314" t="s">
        <v>7</v>
      </c>
      <c r="D314" t="s">
        <v>46</v>
      </c>
      <c r="E314" t="s">
        <v>47</v>
      </c>
      <c r="F314" t="s">
        <v>42</v>
      </c>
      <c r="G314" t="s">
        <v>44</v>
      </c>
      <c r="H314" t="s">
        <v>44</v>
      </c>
      <c r="I314" t="s">
        <v>44</v>
      </c>
      <c r="J314" t="s">
        <v>45</v>
      </c>
      <c r="K314" s="9">
        <v>11</v>
      </c>
      <c r="L314" s="10">
        <f>IFERROR(VLOOKUP(C314,Parâmetros!$A$5:$D$7,IF(D314="Mensal",2,IF(D314="Trimestral",3,4)),0),0)</f>
        <v>14.99</v>
      </c>
      <c r="M314" s="10">
        <f>IF(G314="Sim",VLOOKUP("EA Play",Parâmetros!$A$11:$B$13,2,0),0)*K314</f>
        <v>0</v>
      </c>
      <c r="N314" s="10">
        <f>IF(H314="Sim",VLOOKUP("Minecraft Pass",Parâmetros!$A$11:$B$13,2,0),0)*K314</f>
        <v>0</v>
      </c>
      <c r="O314" s="10">
        <f>IF(I314="Sim",VLOOKUP("Call of Duty Pass",Parâmetros!$A$11:$B$13,2,0),0)*K314</f>
        <v>0</v>
      </c>
      <c r="P314" s="10">
        <f>(L314*K314+M314+N314+O314)*IF(F314="Promoção",1-Parâmetros!$B$22,1)</f>
        <v>164.89000000000001</v>
      </c>
      <c r="Q314" s="10">
        <f>Parâmetros!$B$20*K314</f>
        <v>132</v>
      </c>
      <c r="R314" s="10">
        <f>P314-Q314</f>
        <v>32.890000000000015</v>
      </c>
    </row>
    <row r="315" spans="1:18">
      <c r="A315">
        <v>314</v>
      </c>
      <c r="B315" s="8">
        <v>45754</v>
      </c>
      <c r="C315" t="s">
        <v>6</v>
      </c>
      <c r="D315" t="s">
        <v>50</v>
      </c>
      <c r="E315" t="s">
        <v>41</v>
      </c>
      <c r="F315" t="s">
        <v>42</v>
      </c>
      <c r="G315" t="s">
        <v>44</v>
      </c>
      <c r="H315" t="s">
        <v>43</v>
      </c>
      <c r="I315" t="s">
        <v>43</v>
      </c>
      <c r="J315" t="s">
        <v>49</v>
      </c>
      <c r="K315" s="9">
        <v>5</v>
      </c>
      <c r="L315" s="10">
        <f>IFERROR(VLOOKUP(C315,Parâmetros!$A$5:$D$7,IF(D315="Mensal",2,IF(D315="Trimestral",3,4)),0),0)</f>
        <v>99</v>
      </c>
      <c r="M315" s="10">
        <f>IF(G315="Sim",VLOOKUP("EA Play",Parâmetros!$A$11:$B$13,2,0),0)*K315</f>
        <v>0</v>
      </c>
      <c r="N315" s="10">
        <f>IF(H315="Sim",VLOOKUP("Minecraft Pass",Parâmetros!$A$11:$B$13,2,0),0)*K315</f>
        <v>19.950000000000003</v>
      </c>
      <c r="O315" s="10">
        <f>IF(I315="Sim",VLOOKUP("Call of Duty Pass",Parâmetros!$A$11:$B$13,2,0),0)*K315</f>
        <v>34.950000000000003</v>
      </c>
      <c r="P315" s="10">
        <f>(L315*K315+M315+N315+O315)*IF(F315="Promoção",1-Parâmetros!$B$22,1)</f>
        <v>549.90000000000009</v>
      </c>
      <c r="Q315" s="10">
        <f>Parâmetros!$B$20*K315</f>
        <v>60</v>
      </c>
      <c r="R315" s="10">
        <f>P315-Q315</f>
        <v>489.90000000000009</v>
      </c>
    </row>
    <row r="316" spans="1:18">
      <c r="A316">
        <v>315</v>
      </c>
      <c r="B316" s="8">
        <v>45852</v>
      </c>
      <c r="C316" t="s">
        <v>8</v>
      </c>
      <c r="D316" t="s">
        <v>50</v>
      </c>
      <c r="E316" t="s">
        <v>41</v>
      </c>
      <c r="F316" t="s">
        <v>54</v>
      </c>
      <c r="G316" t="s">
        <v>44</v>
      </c>
      <c r="H316" t="s">
        <v>44</v>
      </c>
      <c r="I316" t="s">
        <v>44</v>
      </c>
      <c r="J316" t="s">
        <v>45</v>
      </c>
      <c r="K316" s="9">
        <v>28</v>
      </c>
      <c r="L316" s="10">
        <f>IFERROR(VLOOKUP(C316,Parâmetros!$A$5:$D$7,IF(D316="Mensal",2,IF(D316="Trimestral",3,4)),0),0)</f>
        <v>219</v>
      </c>
      <c r="M316" s="10">
        <f>IF(G316="Sim",VLOOKUP("EA Play",Parâmetros!$A$11:$B$13,2,0),0)*K316</f>
        <v>0</v>
      </c>
      <c r="N316" s="10">
        <f>IF(H316="Sim",VLOOKUP("Minecraft Pass",Parâmetros!$A$11:$B$13,2,0),0)*K316</f>
        <v>0</v>
      </c>
      <c r="O316" s="10">
        <f>IF(I316="Sim",VLOOKUP("Call of Duty Pass",Parâmetros!$A$11:$B$13,2,0),0)*K316</f>
        <v>0</v>
      </c>
      <c r="P316" s="10">
        <f>(L316*K316+M316+N316+O316)*IF(F316="Promoção",1-Parâmetros!$B$22,1)</f>
        <v>5518.8</v>
      </c>
      <c r="Q316" s="10">
        <f>Parâmetros!$B$20*K316</f>
        <v>336</v>
      </c>
      <c r="R316" s="10">
        <f>P316-Q316</f>
        <v>5182.8</v>
      </c>
    </row>
    <row r="317" spans="1:18">
      <c r="A317">
        <v>316</v>
      </c>
      <c r="B317" s="8">
        <v>45452</v>
      </c>
      <c r="C317" t="s">
        <v>6</v>
      </c>
      <c r="D317" t="s">
        <v>46</v>
      </c>
      <c r="E317" t="s">
        <v>53</v>
      </c>
      <c r="F317" t="s">
        <v>48</v>
      </c>
      <c r="G317" t="s">
        <v>44</v>
      </c>
      <c r="H317" t="s">
        <v>44</v>
      </c>
      <c r="I317" t="s">
        <v>44</v>
      </c>
      <c r="J317" t="s">
        <v>45</v>
      </c>
      <c r="K317" s="9">
        <v>20</v>
      </c>
      <c r="L317" s="10">
        <f>IFERROR(VLOOKUP(C317,Parâmetros!$A$5:$D$7,IF(D317="Mensal",2,IF(D317="Trimestral",3,4)),0),0)</f>
        <v>9.99</v>
      </c>
      <c r="M317" s="10">
        <f>IF(G317="Sim",VLOOKUP("EA Play",Parâmetros!$A$11:$B$13,2,0),0)*K317</f>
        <v>0</v>
      </c>
      <c r="N317" s="10">
        <f>IF(H317="Sim",VLOOKUP("Minecraft Pass",Parâmetros!$A$11:$B$13,2,0),0)*K317</f>
        <v>0</v>
      </c>
      <c r="O317" s="10">
        <f>IF(I317="Sim",VLOOKUP("Call of Duty Pass",Parâmetros!$A$11:$B$13,2,0),0)*K317</f>
        <v>0</v>
      </c>
      <c r="P317" s="10">
        <f>(L317*K317+M317+N317+O317)*IF(F317="Promoção",1-Parâmetros!$B$22,1)</f>
        <v>199.8</v>
      </c>
      <c r="Q317" s="10">
        <f>Parâmetros!$B$20*K317</f>
        <v>240</v>
      </c>
      <c r="R317" s="10">
        <f>P317-Q317</f>
        <v>-40.199999999999989</v>
      </c>
    </row>
    <row r="318" spans="1:18">
      <c r="A318">
        <v>317</v>
      </c>
      <c r="B318" s="8">
        <v>45535</v>
      </c>
      <c r="C318" t="s">
        <v>6</v>
      </c>
      <c r="D318" t="s">
        <v>46</v>
      </c>
      <c r="E318" t="s">
        <v>47</v>
      </c>
      <c r="F318" t="s">
        <v>48</v>
      </c>
      <c r="G318" t="s">
        <v>43</v>
      </c>
      <c r="H318" t="s">
        <v>43</v>
      </c>
      <c r="I318" t="s">
        <v>43</v>
      </c>
      <c r="J318" t="s">
        <v>45</v>
      </c>
      <c r="K318" s="9">
        <v>31</v>
      </c>
      <c r="L318" s="10">
        <f>IFERROR(VLOOKUP(C318,Parâmetros!$A$5:$D$7,IF(D318="Mensal",2,IF(D318="Trimestral",3,4)),0),0)</f>
        <v>9.99</v>
      </c>
      <c r="M318" s="10">
        <f>IF(G318="Sim",VLOOKUP("EA Play",Parâmetros!$A$11:$B$13,2,0),0)*K318</f>
        <v>154.69</v>
      </c>
      <c r="N318" s="10">
        <f>IF(H318="Sim",VLOOKUP("Minecraft Pass",Parâmetros!$A$11:$B$13,2,0),0)*K318</f>
        <v>123.69000000000001</v>
      </c>
      <c r="O318" s="10">
        <f>IF(I318="Sim",VLOOKUP("Call of Duty Pass",Parâmetros!$A$11:$B$13,2,0),0)*K318</f>
        <v>216.69</v>
      </c>
      <c r="P318" s="10">
        <f>(L318*K318+M318+N318+O318)*IF(F318="Promoção",1-Parâmetros!$B$22,1)</f>
        <v>804.76</v>
      </c>
      <c r="Q318" s="10">
        <f>Parâmetros!$B$20*K318</f>
        <v>372</v>
      </c>
      <c r="R318" s="10">
        <f>P318-Q318</f>
        <v>432.76</v>
      </c>
    </row>
    <row r="319" spans="1:18">
      <c r="A319">
        <v>318</v>
      </c>
      <c r="B319" s="8">
        <v>45496</v>
      </c>
      <c r="C319" t="s">
        <v>6</v>
      </c>
      <c r="D319" t="s">
        <v>46</v>
      </c>
      <c r="E319" t="s">
        <v>47</v>
      </c>
      <c r="F319" t="s">
        <v>54</v>
      </c>
      <c r="G319" t="s">
        <v>44</v>
      </c>
      <c r="H319" t="s">
        <v>43</v>
      </c>
      <c r="I319" t="s">
        <v>44</v>
      </c>
      <c r="J319" t="s">
        <v>49</v>
      </c>
      <c r="K319" s="9">
        <v>17</v>
      </c>
      <c r="L319" s="10">
        <f>IFERROR(VLOOKUP(C319,Parâmetros!$A$5:$D$7,IF(D319="Mensal",2,IF(D319="Trimestral",3,4)),0),0)</f>
        <v>9.99</v>
      </c>
      <c r="M319" s="10">
        <f>IF(G319="Sim",VLOOKUP("EA Play",Parâmetros!$A$11:$B$13,2,0),0)*K319</f>
        <v>0</v>
      </c>
      <c r="N319" s="10">
        <f>IF(H319="Sim",VLOOKUP("Minecraft Pass",Parâmetros!$A$11:$B$13,2,0),0)*K319</f>
        <v>67.83</v>
      </c>
      <c r="O319" s="10">
        <f>IF(I319="Sim",VLOOKUP("Call of Duty Pass",Parâmetros!$A$11:$B$13,2,0),0)*K319</f>
        <v>0</v>
      </c>
      <c r="P319" s="10">
        <f>(L319*K319+M319+N319+O319)*IF(F319="Promoção",1-Parâmetros!$B$22,1)</f>
        <v>213.89400000000003</v>
      </c>
      <c r="Q319" s="10">
        <f>Parâmetros!$B$20*K319</f>
        <v>204</v>
      </c>
      <c r="R319" s="10">
        <f>P319-Q319</f>
        <v>9.8940000000000339</v>
      </c>
    </row>
    <row r="320" spans="1:18">
      <c r="A320">
        <v>319</v>
      </c>
      <c r="B320" s="8">
        <v>45385</v>
      </c>
      <c r="C320" t="s">
        <v>7</v>
      </c>
      <c r="D320" t="s">
        <v>46</v>
      </c>
      <c r="E320" t="s">
        <v>41</v>
      </c>
      <c r="F320" t="s">
        <v>42</v>
      </c>
      <c r="G320" t="s">
        <v>43</v>
      </c>
      <c r="H320" t="s">
        <v>43</v>
      </c>
      <c r="I320" t="s">
        <v>44</v>
      </c>
      <c r="J320" t="s">
        <v>49</v>
      </c>
      <c r="K320" s="9">
        <v>18</v>
      </c>
      <c r="L320" s="10">
        <f>IFERROR(VLOOKUP(C320,Parâmetros!$A$5:$D$7,IF(D320="Mensal",2,IF(D320="Trimestral",3,4)),0),0)</f>
        <v>14.99</v>
      </c>
      <c r="M320" s="10">
        <f>IF(G320="Sim",VLOOKUP("EA Play",Parâmetros!$A$11:$B$13,2,0),0)*K320</f>
        <v>89.820000000000007</v>
      </c>
      <c r="N320" s="10">
        <f>IF(H320="Sim",VLOOKUP("Minecraft Pass",Parâmetros!$A$11:$B$13,2,0),0)*K320</f>
        <v>71.820000000000007</v>
      </c>
      <c r="O320" s="10">
        <f>IF(I320="Sim",VLOOKUP("Call of Duty Pass",Parâmetros!$A$11:$B$13,2,0),0)*K320</f>
        <v>0</v>
      </c>
      <c r="P320" s="10">
        <f>(L320*K320+M320+N320+O320)*IF(F320="Promoção",1-Parâmetros!$B$22,1)</f>
        <v>431.46</v>
      </c>
      <c r="Q320" s="10">
        <f>Parâmetros!$B$20*K320</f>
        <v>216</v>
      </c>
      <c r="R320" s="10">
        <f>P320-Q320</f>
        <v>215.45999999999998</v>
      </c>
    </row>
    <row r="321" spans="1:18">
      <c r="A321">
        <v>320</v>
      </c>
      <c r="B321" s="8">
        <v>45869</v>
      </c>
      <c r="C321" t="s">
        <v>6</v>
      </c>
      <c r="D321" t="s">
        <v>40</v>
      </c>
      <c r="E321" t="s">
        <v>51</v>
      </c>
      <c r="F321" t="s">
        <v>42</v>
      </c>
      <c r="G321" t="s">
        <v>43</v>
      </c>
      <c r="H321" t="s">
        <v>44</v>
      </c>
      <c r="I321" t="s">
        <v>44</v>
      </c>
      <c r="J321" t="s">
        <v>45</v>
      </c>
      <c r="K321" s="9">
        <v>4</v>
      </c>
      <c r="L321" s="10">
        <f>IFERROR(VLOOKUP(C321,Parâmetros!$A$5:$D$7,IF(D321="Mensal",2,IF(D321="Trimestral",3,4)),0),0)</f>
        <v>27</v>
      </c>
      <c r="M321" s="10">
        <f>IF(G321="Sim",VLOOKUP("EA Play",Parâmetros!$A$11:$B$13,2,0),0)*K321</f>
        <v>19.96</v>
      </c>
      <c r="N321" s="10">
        <f>IF(H321="Sim",VLOOKUP("Minecraft Pass",Parâmetros!$A$11:$B$13,2,0),0)*K321</f>
        <v>0</v>
      </c>
      <c r="O321" s="10">
        <f>IF(I321="Sim",VLOOKUP("Call of Duty Pass",Parâmetros!$A$11:$B$13,2,0),0)*K321</f>
        <v>0</v>
      </c>
      <c r="P321" s="10">
        <f>(L321*K321+M321+N321+O321)*IF(F321="Promoção",1-Parâmetros!$B$22,1)</f>
        <v>127.96000000000001</v>
      </c>
      <c r="Q321" s="10">
        <f>Parâmetros!$B$20*K321</f>
        <v>48</v>
      </c>
      <c r="R321" s="10">
        <f>P321-Q321</f>
        <v>79.960000000000008</v>
      </c>
    </row>
    <row r="322" spans="1:18">
      <c r="A322">
        <v>321</v>
      </c>
      <c r="B322" s="8">
        <v>45688</v>
      </c>
      <c r="C322" t="s">
        <v>8</v>
      </c>
      <c r="D322" t="s">
        <v>46</v>
      </c>
      <c r="E322" t="s">
        <v>47</v>
      </c>
      <c r="F322" t="s">
        <v>54</v>
      </c>
      <c r="G322" t="s">
        <v>44</v>
      </c>
      <c r="H322" t="s">
        <v>44</v>
      </c>
      <c r="I322" t="s">
        <v>44</v>
      </c>
      <c r="J322" t="s">
        <v>49</v>
      </c>
      <c r="K322" s="9">
        <v>3</v>
      </c>
      <c r="L322" s="10">
        <f>IFERROR(VLOOKUP(C322,Parâmetros!$A$5:$D$7,IF(D322="Mensal",2,IF(D322="Trimestral",3,4)),0),0)</f>
        <v>21.99</v>
      </c>
      <c r="M322" s="10">
        <f>IF(G322="Sim",VLOOKUP("EA Play",Parâmetros!$A$11:$B$13,2,0),0)*K322</f>
        <v>0</v>
      </c>
      <c r="N322" s="10">
        <f>IF(H322="Sim",VLOOKUP("Minecraft Pass",Parâmetros!$A$11:$B$13,2,0),0)*K322</f>
        <v>0</v>
      </c>
      <c r="O322" s="10">
        <f>IF(I322="Sim",VLOOKUP("Call of Duty Pass",Parâmetros!$A$11:$B$13,2,0),0)*K322</f>
        <v>0</v>
      </c>
      <c r="P322" s="10">
        <f>(L322*K322+M322+N322+O322)*IF(F322="Promoção",1-Parâmetros!$B$22,1)</f>
        <v>59.372999999999998</v>
      </c>
      <c r="Q322" s="10">
        <f>Parâmetros!$B$20*K322</f>
        <v>36</v>
      </c>
      <c r="R322" s="10">
        <f>P322-Q322</f>
        <v>23.372999999999998</v>
      </c>
    </row>
    <row r="323" spans="1:18">
      <c r="A323">
        <v>322</v>
      </c>
      <c r="B323" s="8">
        <v>45806</v>
      </c>
      <c r="C323" t="s">
        <v>7</v>
      </c>
      <c r="D323" t="s">
        <v>40</v>
      </c>
      <c r="E323" t="s">
        <v>47</v>
      </c>
      <c r="F323" t="s">
        <v>54</v>
      </c>
      <c r="G323" t="s">
        <v>43</v>
      </c>
      <c r="H323" t="s">
        <v>44</v>
      </c>
      <c r="I323" t="s">
        <v>44</v>
      </c>
      <c r="J323" t="s">
        <v>45</v>
      </c>
      <c r="K323" s="9">
        <v>11</v>
      </c>
      <c r="L323" s="10">
        <f>IFERROR(VLOOKUP(C323,Parâmetros!$A$5:$D$7,IF(D323="Mensal",2,IF(D323="Trimestral",3,4)),0),0)</f>
        <v>40</v>
      </c>
      <c r="M323" s="10">
        <f>IF(G323="Sim",VLOOKUP("EA Play",Parâmetros!$A$11:$B$13,2,0),0)*K323</f>
        <v>54.89</v>
      </c>
      <c r="N323" s="10">
        <f>IF(H323="Sim",VLOOKUP("Minecraft Pass",Parâmetros!$A$11:$B$13,2,0),0)*K323</f>
        <v>0</v>
      </c>
      <c r="O323" s="10">
        <f>IF(I323="Sim",VLOOKUP("Call of Duty Pass",Parâmetros!$A$11:$B$13,2,0),0)*K323</f>
        <v>0</v>
      </c>
      <c r="P323" s="10">
        <f>(L323*K323+M323+N323+O323)*IF(F323="Promoção",1-Parâmetros!$B$22,1)</f>
        <v>445.40100000000001</v>
      </c>
      <c r="Q323" s="10">
        <f>Parâmetros!$B$20*K323</f>
        <v>132</v>
      </c>
      <c r="R323" s="10">
        <f>P323-Q323</f>
        <v>313.40100000000001</v>
      </c>
    </row>
    <row r="324" spans="1:18">
      <c r="A324">
        <v>323</v>
      </c>
      <c r="B324" s="8">
        <v>45508</v>
      </c>
      <c r="C324" t="s">
        <v>8</v>
      </c>
      <c r="D324" t="s">
        <v>46</v>
      </c>
      <c r="E324" t="s">
        <v>47</v>
      </c>
      <c r="F324" t="s">
        <v>54</v>
      </c>
      <c r="G324" t="s">
        <v>43</v>
      </c>
      <c r="H324" t="s">
        <v>44</v>
      </c>
      <c r="I324" t="s">
        <v>44</v>
      </c>
      <c r="J324" t="s">
        <v>45</v>
      </c>
      <c r="K324" s="9">
        <v>17</v>
      </c>
      <c r="L324" s="10">
        <f>IFERROR(VLOOKUP(C324,Parâmetros!$A$5:$D$7,IF(D324="Mensal",2,IF(D324="Trimestral",3,4)),0),0)</f>
        <v>21.99</v>
      </c>
      <c r="M324" s="10">
        <f>IF(G324="Sim",VLOOKUP("EA Play",Parâmetros!$A$11:$B$13,2,0),0)*K324</f>
        <v>84.83</v>
      </c>
      <c r="N324" s="10">
        <f>IF(H324="Sim",VLOOKUP("Minecraft Pass",Parâmetros!$A$11:$B$13,2,0),0)*K324</f>
        <v>0</v>
      </c>
      <c r="O324" s="10">
        <f>IF(I324="Sim",VLOOKUP("Call of Duty Pass",Parâmetros!$A$11:$B$13,2,0),0)*K324</f>
        <v>0</v>
      </c>
      <c r="P324" s="10">
        <f>(L324*K324+M324+N324+O324)*IF(F324="Promoção",1-Parâmetros!$B$22,1)</f>
        <v>412.79399999999998</v>
      </c>
      <c r="Q324" s="10">
        <f>Parâmetros!$B$20*K324</f>
        <v>204</v>
      </c>
      <c r="R324" s="10">
        <f>P324-Q324</f>
        <v>208.79399999999998</v>
      </c>
    </row>
    <row r="325" spans="1:18">
      <c r="A325">
        <v>324</v>
      </c>
      <c r="B325" s="8">
        <v>45619</v>
      </c>
      <c r="C325" t="s">
        <v>8</v>
      </c>
      <c r="D325" t="s">
        <v>50</v>
      </c>
      <c r="E325" t="s">
        <v>41</v>
      </c>
      <c r="F325" t="s">
        <v>42</v>
      </c>
      <c r="G325" t="s">
        <v>43</v>
      </c>
      <c r="H325" t="s">
        <v>43</v>
      </c>
      <c r="I325" t="s">
        <v>43</v>
      </c>
      <c r="J325" t="s">
        <v>49</v>
      </c>
      <c r="K325" s="9">
        <v>1</v>
      </c>
      <c r="L325" s="10">
        <f>IFERROR(VLOOKUP(C325,Parâmetros!$A$5:$D$7,IF(D325="Mensal",2,IF(D325="Trimestral",3,4)),0),0)</f>
        <v>219</v>
      </c>
      <c r="M325" s="10">
        <f>IF(G325="Sim",VLOOKUP("EA Play",Parâmetros!$A$11:$B$13,2,0),0)*K325</f>
        <v>4.99</v>
      </c>
      <c r="N325" s="10">
        <f>IF(H325="Sim",VLOOKUP("Minecraft Pass",Parâmetros!$A$11:$B$13,2,0),0)*K325</f>
        <v>3.99</v>
      </c>
      <c r="O325" s="10">
        <f>IF(I325="Sim",VLOOKUP("Call of Duty Pass",Parâmetros!$A$11:$B$13,2,0),0)*K325</f>
        <v>6.99</v>
      </c>
      <c r="P325" s="10">
        <f>(L325*K325+M325+N325+O325)*IF(F325="Promoção",1-Parâmetros!$B$22,1)</f>
        <v>234.97000000000003</v>
      </c>
      <c r="Q325" s="10">
        <f>Parâmetros!$B$20*K325</f>
        <v>12</v>
      </c>
      <c r="R325" s="10">
        <f>P325-Q325</f>
        <v>222.97000000000003</v>
      </c>
    </row>
    <row r="326" spans="1:18">
      <c r="A326">
        <v>325</v>
      </c>
      <c r="B326" s="8">
        <v>46009</v>
      </c>
      <c r="C326" t="s">
        <v>7</v>
      </c>
      <c r="D326" t="s">
        <v>40</v>
      </c>
      <c r="E326" t="s">
        <v>41</v>
      </c>
      <c r="F326" t="s">
        <v>48</v>
      </c>
      <c r="G326" t="s">
        <v>43</v>
      </c>
      <c r="H326" t="s">
        <v>44</v>
      </c>
      <c r="I326" t="s">
        <v>44</v>
      </c>
      <c r="J326" t="s">
        <v>45</v>
      </c>
      <c r="K326" s="9">
        <v>7</v>
      </c>
      <c r="L326" s="10">
        <f>IFERROR(VLOOKUP(C326,Parâmetros!$A$5:$D$7,IF(D326="Mensal",2,IF(D326="Trimestral",3,4)),0),0)</f>
        <v>40</v>
      </c>
      <c r="M326" s="10">
        <f>IF(G326="Sim",VLOOKUP("EA Play",Parâmetros!$A$11:$B$13,2,0),0)*K326</f>
        <v>34.93</v>
      </c>
      <c r="N326" s="10">
        <f>IF(H326="Sim",VLOOKUP("Minecraft Pass",Parâmetros!$A$11:$B$13,2,0),0)*K326</f>
        <v>0</v>
      </c>
      <c r="O326" s="10">
        <f>IF(I326="Sim",VLOOKUP("Call of Duty Pass",Parâmetros!$A$11:$B$13,2,0),0)*K326</f>
        <v>0</v>
      </c>
      <c r="P326" s="10">
        <f>(L326*K326+M326+N326+O326)*IF(F326="Promoção",1-Parâmetros!$B$22,1)</f>
        <v>314.93</v>
      </c>
      <c r="Q326" s="10">
        <f>Parâmetros!$B$20*K326</f>
        <v>84</v>
      </c>
      <c r="R326" s="10">
        <f>P326-Q326</f>
        <v>230.93</v>
      </c>
    </row>
    <row r="327" spans="1:18">
      <c r="A327">
        <v>326</v>
      </c>
      <c r="B327" s="8">
        <v>45868</v>
      </c>
      <c r="C327" t="s">
        <v>8</v>
      </c>
      <c r="D327" t="s">
        <v>40</v>
      </c>
      <c r="E327" t="s">
        <v>55</v>
      </c>
      <c r="F327" t="s">
        <v>54</v>
      </c>
      <c r="G327" t="s">
        <v>44</v>
      </c>
      <c r="H327" t="s">
        <v>43</v>
      </c>
      <c r="I327" t="s">
        <v>44</v>
      </c>
      <c r="J327" t="s">
        <v>45</v>
      </c>
      <c r="K327" s="9">
        <v>31</v>
      </c>
      <c r="L327" s="10">
        <f>IFERROR(VLOOKUP(C327,Parâmetros!$A$5:$D$7,IF(D327="Mensal",2,IF(D327="Trimestral",3,4)),0),0)</f>
        <v>59</v>
      </c>
      <c r="M327" s="10">
        <f>IF(G327="Sim",VLOOKUP("EA Play",Parâmetros!$A$11:$B$13,2,0),0)*K327</f>
        <v>0</v>
      </c>
      <c r="N327" s="10">
        <f>IF(H327="Sim",VLOOKUP("Minecraft Pass",Parâmetros!$A$11:$B$13,2,0),0)*K327</f>
        <v>123.69000000000001</v>
      </c>
      <c r="O327" s="10">
        <f>IF(I327="Sim",VLOOKUP("Call of Duty Pass",Parâmetros!$A$11:$B$13,2,0),0)*K327</f>
        <v>0</v>
      </c>
      <c r="P327" s="10">
        <f>(L327*K327+M327+N327+O327)*IF(F327="Promoção",1-Parâmetros!$B$22,1)</f>
        <v>1757.421</v>
      </c>
      <c r="Q327" s="10">
        <f>Parâmetros!$B$20*K327</f>
        <v>372</v>
      </c>
      <c r="R327" s="10">
        <f>P327-Q327</f>
        <v>1385.421</v>
      </c>
    </row>
    <row r="328" spans="1:18">
      <c r="A328">
        <v>327</v>
      </c>
      <c r="B328" s="8">
        <v>45330</v>
      </c>
      <c r="C328" t="s">
        <v>6</v>
      </c>
      <c r="D328" t="s">
        <v>46</v>
      </c>
      <c r="E328" t="s">
        <v>47</v>
      </c>
      <c r="F328" t="s">
        <v>52</v>
      </c>
      <c r="G328" t="s">
        <v>43</v>
      </c>
      <c r="H328" t="s">
        <v>43</v>
      </c>
      <c r="I328" t="s">
        <v>44</v>
      </c>
      <c r="J328" t="s">
        <v>45</v>
      </c>
      <c r="K328" s="9">
        <v>4</v>
      </c>
      <c r="L328" s="10">
        <f>IFERROR(VLOOKUP(C328,Parâmetros!$A$5:$D$7,IF(D328="Mensal",2,IF(D328="Trimestral",3,4)),0),0)</f>
        <v>9.99</v>
      </c>
      <c r="M328" s="10">
        <f>IF(G328="Sim",VLOOKUP("EA Play",Parâmetros!$A$11:$B$13,2,0),0)*K328</f>
        <v>19.96</v>
      </c>
      <c r="N328" s="10">
        <f>IF(H328="Sim",VLOOKUP("Minecraft Pass",Parâmetros!$A$11:$B$13,2,0),0)*K328</f>
        <v>15.96</v>
      </c>
      <c r="O328" s="10">
        <f>IF(I328="Sim",VLOOKUP("Call of Duty Pass",Parâmetros!$A$11:$B$13,2,0),0)*K328</f>
        <v>0</v>
      </c>
      <c r="P328" s="10">
        <f>(L328*K328+M328+N328+O328)*IF(F328="Promoção",1-Parâmetros!$B$22,1)</f>
        <v>75.88</v>
      </c>
      <c r="Q328" s="10">
        <f>Parâmetros!$B$20*K328</f>
        <v>48</v>
      </c>
      <c r="R328" s="10">
        <f>P328-Q328</f>
        <v>27.879999999999995</v>
      </c>
    </row>
    <row r="329" spans="1:18">
      <c r="A329">
        <v>328</v>
      </c>
      <c r="B329" s="8">
        <v>45778</v>
      </c>
      <c r="C329" t="s">
        <v>8</v>
      </c>
      <c r="D329" t="s">
        <v>50</v>
      </c>
      <c r="E329" t="s">
        <v>41</v>
      </c>
      <c r="F329" t="s">
        <v>54</v>
      </c>
      <c r="G329" t="s">
        <v>43</v>
      </c>
      <c r="H329" t="s">
        <v>43</v>
      </c>
      <c r="I329" t="s">
        <v>44</v>
      </c>
      <c r="J329" t="s">
        <v>45</v>
      </c>
      <c r="K329" s="9">
        <v>7</v>
      </c>
      <c r="L329" s="10">
        <f>IFERROR(VLOOKUP(C329,Parâmetros!$A$5:$D$7,IF(D329="Mensal",2,IF(D329="Trimestral",3,4)),0),0)</f>
        <v>219</v>
      </c>
      <c r="M329" s="10">
        <f>IF(G329="Sim",VLOOKUP("EA Play",Parâmetros!$A$11:$B$13,2,0),0)*K329</f>
        <v>34.93</v>
      </c>
      <c r="N329" s="10">
        <f>IF(H329="Sim",VLOOKUP("Minecraft Pass",Parâmetros!$A$11:$B$13,2,0),0)*K329</f>
        <v>27.93</v>
      </c>
      <c r="O329" s="10">
        <f>IF(I329="Sim",VLOOKUP("Call of Duty Pass",Parâmetros!$A$11:$B$13,2,0),0)*K329</f>
        <v>0</v>
      </c>
      <c r="P329" s="10">
        <f>(L329*K329+M329+N329+O329)*IF(F329="Promoção",1-Parâmetros!$B$22,1)</f>
        <v>1436.2740000000001</v>
      </c>
      <c r="Q329" s="10">
        <f>Parâmetros!$B$20*K329</f>
        <v>84</v>
      </c>
      <c r="R329" s="10">
        <f>P329-Q329</f>
        <v>1352.2740000000001</v>
      </c>
    </row>
    <row r="330" spans="1:18">
      <c r="A330">
        <v>329</v>
      </c>
      <c r="B330" s="8">
        <v>45525</v>
      </c>
      <c r="C330" t="s">
        <v>6</v>
      </c>
      <c r="D330" t="s">
        <v>50</v>
      </c>
      <c r="E330" t="s">
        <v>47</v>
      </c>
      <c r="F330" t="s">
        <v>54</v>
      </c>
      <c r="G330" t="s">
        <v>43</v>
      </c>
      <c r="H330" t="s">
        <v>44</v>
      </c>
      <c r="I330" t="s">
        <v>44</v>
      </c>
      <c r="J330" t="s">
        <v>49</v>
      </c>
      <c r="K330" s="9">
        <v>14</v>
      </c>
      <c r="L330" s="10">
        <f>IFERROR(VLOOKUP(C330,Parâmetros!$A$5:$D$7,IF(D330="Mensal",2,IF(D330="Trimestral",3,4)),0),0)</f>
        <v>99</v>
      </c>
      <c r="M330" s="10">
        <f>IF(G330="Sim",VLOOKUP("EA Play",Parâmetros!$A$11:$B$13,2,0),0)*K330</f>
        <v>69.86</v>
      </c>
      <c r="N330" s="10">
        <f>IF(H330="Sim",VLOOKUP("Minecraft Pass",Parâmetros!$A$11:$B$13,2,0),0)*K330</f>
        <v>0</v>
      </c>
      <c r="O330" s="10">
        <f>IF(I330="Sim",VLOOKUP("Call of Duty Pass",Parâmetros!$A$11:$B$13,2,0),0)*K330</f>
        <v>0</v>
      </c>
      <c r="P330" s="10">
        <f>(L330*K330+M330+N330+O330)*IF(F330="Promoção",1-Parâmetros!$B$22,1)</f>
        <v>1310.2739999999999</v>
      </c>
      <c r="Q330" s="10">
        <f>Parâmetros!$B$20*K330</f>
        <v>168</v>
      </c>
      <c r="R330" s="10">
        <f>P330-Q330</f>
        <v>1142.2739999999999</v>
      </c>
    </row>
    <row r="331" spans="1:18">
      <c r="A331">
        <v>330</v>
      </c>
      <c r="B331" s="8">
        <v>45708</v>
      </c>
      <c r="C331" t="s">
        <v>7</v>
      </c>
      <c r="D331" t="s">
        <v>40</v>
      </c>
      <c r="E331" t="s">
        <v>55</v>
      </c>
      <c r="F331" t="s">
        <v>54</v>
      </c>
      <c r="G331" t="s">
        <v>44</v>
      </c>
      <c r="H331" t="s">
        <v>43</v>
      </c>
      <c r="I331" t="s">
        <v>44</v>
      </c>
      <c r="J331" t="s">
        <v>49</v>
      </c>
      <c r="K331" s="9">
        <v>9</v>
      </c>
      <c r="L331" s="10">
        <f>IFERROR(VLOOKUP(C331,Parâmetros!$A$5:$D$7,IF(D331="Mensal",2,IF(D331="Trimestral",3,4)),0),0)</f>
        <v>40</v>
      </c>
      <c r="M331" s="10">
        <f>IF(G331="Sim",VLOOKUP("EA Play",Parâmetros!$A$11:$B$13,2,0),0)*K331</f>
        <v>0</v>
      </c>
      <c r="N331" s="10">
        <f>IF(H331="Sim",VLOOKUP("Minecraft Pass",Parâmetros!$A$11:$B$13,2,0),0)*K331</f>
        <v>35.910000000000004</v>
      </c>
      <c r="O331" s="10">
        <f>IF(I331="Sim",VLOOKUP("Call of Duty Pass",Parâmetros!$A$11:$B$13,2,0),0)*K331</f>
        <v>0</v>
      </c>
      <c r="P331" s="10">
        <f>(L331*K331+M331+N331+O331)*IF(F331="Promoção",1-Parâmetros!$B$22,1)</f>
        <v>356.31900000000002</v>
      </c>
      <c r="Q331" s="10">
        <f>Parâmetros!$B$20*K331</f>
        <v>108</v>
      </c>
      <c r="R331" s="10">
        <f>P331-Q331</f>
        <v>248.31900000000002</v>
      </c>
    </row>
    <row r="332" spans="1:18">
      <c r="A332">
        <v>331</v>
      </c>
      <c r="B332" s="8">
        <v>45828</v>
      </c>
      <c r="C332" t="s">
        <v>8</v>
      </c>
      <c r="D332" t="s">
        <v>46</v>
      </c>
      <c r="E332" t="s">
        <v>41</v>
      </c>
      <c r="F332" t="s">
        <v>54</v>
      </c>
      <c r="G332" t="s">
        <v>44</v>
      </c>
      <c r="H332" t="s">
        <v>43</v>
      </c>
      <c r="I332" t="s">
        <v>44</v>
      </c>
      <c r="J332" t="s">
        <v>45</v>
      </c>
      <c r="K332" s="9">
        <v>13</v>
      </c>
      <c r="L332" s="10">
        <f>IFERROR(VLOOKUP(C332,Parâmetros!$A$5:$D$7,IF(D332="Mensal",2,IF(D332="Trimestral",3,4)),0),0)</f>
        <v>21.99</v>
      </c>
      <c r="M332" s="10">
        <f>IF(G332="Sim",VLOOKUP("EA Play",Parâmetros!$A$11:$B$13,2,0),0)*K332</f>
        <v>0</v>
      </c>
      <c r="N332" s="10">
        <f>IF(H332="Sim",VLOOKUP("Minecraft Pass",Parâmetros!$A$11:$B$13,2,0),0)*K332</f>
        <v>51.870000000000005</v>
      </c>
      <c r="O332" s="10">
        <f>IF(I332="Sim",VLOOKUP("Call of Duty Pass",Parâmetros!$A$11:$B$13,2,0),0)*K332</f>
        <v>0</v>
      </c>
      <c r="P332" s="10">
        <f>(L332*K332+M332+N332+O332)*IF(F332="Promoção",1-Parâmetros!$B$22,1)</f>
        <v>303.96600000000001</v>
      </c>
      <c r="Q332" s="10">
        <f>Parâmetros!$B$20*K332</f>
        <v>156</v>
      </c>
      <c r="R332" s="10">
        <f>P332-Q332</f>
        <v>147.96600000000001</v>
      </c>
    </row>
    <row r="333" spans="1:18">
      <c r="A333">
        <v>332</v>
      </c>
      <c r="B333" s="8">
        <v>45572</v>
      </c>
      <c r="C333" t="s">
        <v>6</v>
      </c>
      <c r="D333" t="s">
        <v>46</v>
      </c>
      <c r="E333" t="s">
        <v>41</v>
      </c>
      <c r="F333" t="s">
        <v>54</v>
      </c>
      <c r="G333" t="s">
        <v>44</v>
      </c>
      <c r="H333" t="s">
        <v>43</v>
      </c>
      <c r="I333" t="s">
        <v>44</v>
      </c>
      <c r="J333" t="s">
        <v>49</v>
      </c>
      <c r="K333" s="9">
        <v>31</v>
      </c>
      <c r="L333" s="10">
        <f>IFERROR(VLOOKUP(C333,Parâmetros!$A$5:$D$7,IF(D333="Mensal",2,IF(D333="Trimestral",3,4)),0),0)</f>
        <v>9.99</v>
      </c>
      <c r="M333" s="10">
        <f>IF(G333="Sim",VLOOKUP("EA Play",Parâmetros!$A$11:$B$13,2,0),0)*K333</f>
        <v>0</v>
      </c>
      <c r="N333" s="10">
        <f>IF(H333="Sim",VLOOKUP("Minecraft Pass",Parâmetros!$A$11:$B$13,2,0),0)*K333</f>
        <v>123.69000000000001</v>
      </c>
      <c r="O333" s="10">
        <f>IF(I333="Sim",VLOOKUP("Call of Duty Pass",Parâmetros!$A$11:$B$13,2,0),0)*K333</f>
        <v>0</v>
      </c>
      <c r="P333" s="10">
        <f>(L333*K333+M333+N333+O333)*IF(F333="Promoção",1-Parâmetros!$B$22,1)</f>
        <v>390.04200000000003</v>
      </c>
      <c r="Q333" s="10">
        <f>Parâmetros!$B$20*K333</f>
        <v>372</v>
      </c>
      <c r="R333" s="10">
        <f>P333-Q333</f>
        <v>18.04200000000003</v>
      </c>
    </row>
    <row r="334" spans="1:18">
      <c r="A334">
        <v>333</v>
      </c>
      <c r="B334" s="8">
        <v>45892</v>
      </c>
      <c r="C334" t="s">
        <v>7</v>
      </c>
      <c r="D334" t="s">
        <v>46</v>
      </c>
      <c r="E334" t="s">
        <v>51</v>
      </c>
      <c r="F334" t="s">
        <v>42</v>
      </c>
      <c r="G334" t="s">
        <v>44</v>
      </c>
      <c r="H334" t="s">
        <v>43</v>
      </c>
      <c r="I334" t="s">
        <v>43</v>
      </c>
      <c r="J334" t="s">
        <v>49</v>
      </c>
      <c r="K334" s="9">
        <v>14</v>
      </c>
      <c r="L334" s="10">
        <f>IFERROR(VLOOKUP(C334,Parâmetros!$A$5:$D$7,IF(D334="Mensal",2,IF(D334="Trimestral",3,4)),0),0)</f>
        <v>14.99</v>
      </c>
      <c r="M334" s="10">
        <f>IF(G334="Sim",VLOOKUP("EA Play",Parâmetros!$A$11:$B$13,2,0),0)*K334</f>
        <v>0</v>
      </c>
      <c r="N334" s="10">
        <f>IF(H334="Sim",VLOOKUP("Minecraft Pass",Parâmetros!$A$11:$B$13,2,0),0)*K334</f>
        <v>55.86</v>
      </c>
      <c r="O334" s="10">
        <f>IF(I334="Sim",VLOOKUP("Call of Duty Pass",Parâmetros!$A$11:$B$13,2,0),0)*K334</f>
        <v>97.86</v>
      </c>
      <c r="P334" s="10">
        <f>(L334*K334+M334+N334+O334)*IF(F334="Promoção",1-Parâmetros!$B$22,1)</f>
        <v>363.58000000000004</v>
      </c>
      <c r="Q334" s="10">
        <f>Parâmetros!$B$20*K334</f>
        <v>168</v>
      </c>
      <c r="R334" s="10">
        <f>P334-Q334</f>
        <v>195.58000000000004</v>
      </c>
    </row>
    <row r="335" spans="1:18">
      <c r="A335">
        <v>334</v>
      </c>
      <c r="B335" s="8">
        <v>45518</v>
      </c>
      <c r="C335" t="s">
        <v>7</v>
      </c>
      <c r="D335" t="s">
        <v>40</v>
      </c>
      <c r="E335" t="s">
        <v>41</v>
      </c>
      <c r="F335" t="s">
        <v>48</v>
      </c>
      <c r="G335" t="s">
        <v>43</v>
      </c>
      <c r="H335" t="s">
        <v>44</v>
      </c>
      <c r="I335" t="s">
        <v>44</v>
      </c>
      <c r="J335" t="s">
        <v>49</v>
      </c>
      <c r="K335" s="9">
        <v>9</v>
      </c>
      <c r="L335" s="10">
        <f>IFERROR(VLOOKUP(C335,Parâmetros!$A$5:$D$7,IF(D335="Mensal",2,IF(D335="Trimestral",3,4)),0),0)</f>
        <v>40</v>
      </c>
      <c r="M335" s="10">
        <f>IF(G335="Sim",VLOOKUP("EA Play",Parâmetros!$A$11:$B$13,2,0),0)*K335</f>
        <v>44.910000000000004</v>
      </c>
      <c r="N335" s="10">
        <f>IF(H335="Sim",VLOOKUP("Minecraft Pass",Parâmetros!$A$11:$B$13,2,0),0)*K335</f>
        <v>0</v>
      </c>
      <c r="O335" s="10">
        <f>IF(I335="Sim",VLOOKUP("Call of Duty Pass",Parâmetros!$A$11:$B$13,2,0),0)*K335</f>
        <v>0</v>
      </c>
      <c r="P335" s="10">
        <f>(L335*K335+M335+N335+O335)*IF(F335="Promoção",1-Parâmetros!$B$22,1)</f>
        <v>404.91</v>
      </c>
      <c r="Q335" s="10">
        <f>Parâmetros!$B$20*K335</f>
        <v>108</v>
      </c>
      <c r="R335" s="10">
        <f>P335-Q335</f>
        <v>296.91000000000003</v>
      </c>
    </row>
    <row r="336" spans="1:18">
      <c r="A336">
        <v>335</v>
      </c>
      <c r="B336" s="8">
        <v>45954</v>
      </c>
      <c r="C336" t="s">
        <v>6</v>
      </c>
      <c r="D336" t="s">
        <v>50</v>
      </c>
      <c r="E336" t="s">
        <v>41</v>
      </c>
      <c r="F336" t="s">
        <v>52</v>
      </c>
      <c r="G336" t="s">
        <v>44</v>
      </c>
      <c r="H336" t="s">
        <v>44</v>
      </c>
      <c r="I336" t="s">
        <v>44</v>
      </c>
      <c r="J336" t="s">
        <v>49</v>
      </c>
      <c r="K336" s="9">
        <v>25</v>
      </c>
      <c r="L336" s="10">
        <f>IFERROR(VLOOKUP(C336,Parâmetros!$A$5:$D$7,IF(D336="Mensal",2,IF(D336="Trimestral",3,4)),0),0)</f>
        <v>99</v>
      </c>
      <c r="M336" s="10">
        <f>IF(G336="Sim",VLOOKUP("EA Play",Parâmetros!$A$11:$B$13,2,0),0)*K336</f>
        <v>0</v>
      </c>
      <c r="N336" s="10">
        <f>IF(H336="Sim",VLOOKUP("Minecraft Pass",Parâmetros!$A$11:$B$13,2,0),0)*K336</f>
        <v>0</v>
      </c>
      <c r="O336" s="10">
        <f>IF(I336="Sim",VLOOKUP("Call of Duty Pass",Parâmetros!$A$11:$B$13,2,0),0)*K336</f>
        <v>0</v>
      </c>
      <c r="P336" s="10">
        <f>(L336*K336+M336+N336+O336)*IF(F336="Promoção",1-Parâmetros!$B$22,1)</f>
        <v>2475</v>
      </c>
      <c r="Q336" s="10">
        <f>Parâmetros!$B$20*K336</f>
        <v>300</v>
      </c>
      <c r="R336" s="10">
        <f>P336-Q336</f>
        <v>2175</v>
      </c>
    </row>
    <row r="337" spans="1:18">
      <c r="A337">
        <v>336</v>
      </c>
      <c r="B337" s="8">
        <v>45649</v>
      </c>
      <c r="C337" t="s">
        <v>7</v>
      </c>
      <c r="D337" t="s">
        <v>46</v>
      </c>
      <c r="E337" t="s">
        <v>41</v>
      </c>
      <c r="F337" t="s">
        <v>48</v>
      </c>
      <c r="G337" t="s">
        <v>44</v>
      </c>
      <c r="H337" t="s">
        <v>44</v>
      </c>
      <c r="I337" t="s">
        <v>43</v>
      </c>
      <c r="J337" t="s">
        <v>45</v>
      </c>
      <c r="K337" s="9">
        <v>24</v>
      </c>
      <c r="L337" s="10">
        <f>IFERROR(VLOOKUP(C337,Parâmetros!$A$5:$D$7,IF(D337="Mensal",2,IF(D337="Trimestral",3,4)),0),0)</f>
        <v>14.99</v>
      </c>
      <c r="M337" s="10">
        <f>IF(G337="Sim",VLOOKUP("EA Play",Parâmetros!$A$11:$B$13,2,0),0)*K337</f>
        <v>0</v>
      </c>
      <c r="N337" s="10">
        <f>IF(H337="Sim",VLOOKUP("Minecraft Pass",Parâmetros!$A$11:$B$13,2,0),0)*K337</f>
        <v>0</v>
      </c>
      <c r="O337" s="10">
        <f>IF(I337="Sim",VLOOKUP("Call of Duty Pass",Parâmetros!$A$11:$B$13,2,0),0)*K337</f>
        <v>167.76</v>
      </c>
      <c r="P337" s="10">
        <f>(L337*K337+M337+N337+O337)*IF(F337="Promoção",1-Parâmetros!$B$22,1)</f>
        <v>527.52</v>
      </c>
      <c r="Q337" s="10">
        <f>Parâmetros!$B$20*K337</f>
        <v>288</v>
      </c>
      <c r="R337" s="10">
        <f>P337-Q337</f>
        <v>239.51999999999998</v>
      </c>
    </row>
    <row r="338" spans="1:18">
      <c r="A338">
        <v>337</v>
      </c>
      <c r="B338" s="8">
        <v>45866</v>
      </c>
      <c r="C338" t="s">
        <v>7</v>
      </c>
      <c r="D338" t="s">
        <v>40</v>
      </c>
      <c r="E338" t="s">
        <v>41</v>
      </c>
      <c r="F338" t="s">
        <v>42</v>
      </c>
      <c r="G338" t="s">
        <v>43</v>
      </c>
      <c r="H338" t="s">
        <v>44</v>
      </c>
      <c r="I338" t="s">
        <v>44</v>
      </c>
      <c r="J338" t="s">
        <v>45</v>
      </c>
      <c r="K338" s="9">
        <v>17</v>
      </c>
      <c r="L338" s="10">
        <f>IFERROR(VLOOKUP(C338,Parâmetros!$A$5:$D$7,IF(D338="Mensal",2,IF(D338="Trimestral",3,4)),0),0)</f>
        <v>40</v>
      </c>
      <c r="M338" s="10">
        <f>IF(G338="Sim",VLOOKUP("EA Play",Parâmetros!$A$11:$B$13,2,0),0)*K338</f>
        <v>84.83</v>
      </c>
      <c r="N338" s="10">
        <f>IF(H338="Sim",VLOOKUP("Minecraft Pass",Parâmetros!$A$11:$B$13,2,0),0)*K338</f>
        <v>0</v>
      </c>
      <c r="O338" s="10">
        <f>IF(I338="Sim",VLOOKUP("Call of Duty Pass",Parâmetros!$A$11:$B$13,2,0),0)*K338</f>
        <v>0</v>
      </c>
      <c r="P338" s="10">
        <f>(L338*K338+M338+N338+O338)*IF(F338="Promoção",1-Parâmetros!$B$22,1)</f>
        <v>764.83</v>
      </c>
      <c r="Q338" s="10">
        <f>Parâmetros!$B$20*K338</f>
        <v>204</v>
      </c>
      <c r="R338" s="10">
        <f>P338-Q338</f>
        <v>560.83000000000004</v>
      </c>
    </row>
    <row r="339" spans="1:18">
      <c r="A339">
        <v>338</v>
      </c>
      <c r="B339" s="8">
        <v>45963</v>
      </c>
      <c r="C339" t="s">
        <v>7</v>
      </c>
      <c r="D339" t="s">
        <v>50</v>
      </c>
      <c r="E339" t="s">
        <v>41</v>
      </c>
      <c r="F339" t="s">
        <v>42</v>
      </c>
      <c r="G339" t="s">
        <v>44</v>
      </c>
      <c r="H339" t="s">
        <v>44</v>
      </c>
      <c r="I339" t="s">
        <v>44</v>
      </c>
      <c r="J339" t="s">
        <v>45</v>
      </c>
      <c r="K339" s="9">
        <v>26</v>
      </c>
      <c r="L339" s="10">
        <f>IFERROR(VLOOKUP(C339,Parâmetros!$A$5:$D$7,IF(D339="Mensal",2,IF(D339="Trimestral",3,4)),0),0)</f>
        <v>149</v>
      </c>
      <c r="M339" s="10">
        <f>IF(G339="Sim",VLOOKUP("EA Play",Parâmetros!$A$11:$B$13,2,0),0)*K339</f>
        <v>0</v>
      </c>
      <c r="N339" s="10">
        <f>IF(H339="Sim",VLOOKUP("Minecraft Pass",Parâmetros!$A$11:$B$13,2,0),0)*K339</f>
        <v>0</v>
      </c>
      <c r="O339" s="10">
        <f>IF(I339="Sim",VLOOKUP("Call of Duty Pass",Parâmetros!$A$11:$B$13,2,0),0)*K339</f>
        <v>0</v>
      </c>
      <c r="P339" s="10">
        <f>(L339*K339+M339+N339+O339)*IF(F339="Promoção",1-Parâmetros!$B$22,1)</f>
        <v>3874</v>
      </c>
      <c r="Q339" s="10">
        <f>Parâmetros!$B$20*K339</f>
        <v>312</v>
      </c>
      <c r="R339" s="10">
        <f>P339-Q339</f>
        <v>3562</v>
      </c>
    </row>
    <row r="340" spans="1:18">
      <c r="A340">
        <v>339</v>
      </c>
      <c r="B340" s="8">
        <v>45968</v>
      </c>
      <c r="C340" t="s">
        <v>6</v>
      </c>
      <c r="D340" t="s">
        <v>46</v>
      </c>
      <c r="E340" t="s">
        <v>41</v>
      </c>
      <c r="F340" t="s">
        <v>48</v>
      </c>
      <c r="G340" t="s">
        <v>43</v>
      </c>
      <c r="H340" t="s">
        <v>44</v>
      </c>
      <c r="I340" t="s">
        <v>44</v>
      </c>
      <c r="J340" t="s">
        <v>45</v>
      </c>
      <c r="K340" s="9">
        <v>13</v>
      </c>
      <c r="L340" s="10">
        <f>IFERROR(VLOOKUP(C340,Parâmetros!$A$5:$D$7,IF(D340="Mensal",2,IF(D340="Trimestral",3,4)),0),0)</f>
        <v>9.99</v>
      </c>
      <c r="M340" s="10">
        <f>IF(G340="Sim",VLOOKUP("EA Play",Parâmetros!$A$11:$B$13,2,0),0)*K340</f>
        <v>64.87</v>
      </c>
      <c r="N340" s="10">
        <f>IF(H340="Sim",VLOOKUP("Minecraft Pass",Parâmetros!$A$11:$B$13,2,0),0)*K340</f>
        <v>0</v>
      </c>
      <c r="O340" s="10">
        <f>IF(I340="Sim",VLOOKUP("Call of Duty Pass",Parâmetros!$A$11:$B$13,2,0),0)*K340</f>
        <v>0</v>
      </c>
      <c r="P340" s="10">
        <f>(L340*K340+M340+N340+O340)*IF(F340="Promoção",1-Parâmetros!$B$22,1)</f>
        <v>194.74</v>
      </c>
      <c r="Q340" s="10">
        <f>Parâmetros!$B$20*K340</f>
        <v>156</v>
      </c>
      <c r="R340" s="10">
        <f>P340-Q340</f>
        <v>38.740000000000009</v>
      </c>
    </row>
    <row r="341" spans="1:18">
      <c r="A341">
        <v>340</v>
      </c>
      <c r="B341" s="8">
        <v>45643</v>
      </c>
      <c r="C341" t="s">
        <v>7</v>
      </c>
      <c r="D341" t="s">
        <v>46</v>
      </c>
      <c r="E341" t="s">
        <v>47</v>
      </c>
      <c r="F341" t="s">
        <v>52</v>
      </c>
      <c r="G341" t="s">
        <v>44</v>
      </c>
      <c r="H341" t="s">
        <v>44</v>
      </c>
      <c r="I341" t="s">
        <v>44</v>
      </c>
      <c r="J341" t="s">
        <v>45</v>
      </c>
      <c r="K341" s="9">
        <v>12</v>
      </c>
      <c r="L341" s="10">
        <f>IFERROR(VLOOKUP(C341,Parâmetros!$A$5:$D$7,IF(D341="Mensal",2,IF(D341="Trimestral",3,4)),0),0)</f>
        <v>14.99</v>
      </c>
      <c r="M341" s="10">
        <f>IF(G341="Sim",VLOOKUP("EA Play",Parâmetros!$A$11:$B$13,2,0),0)*K341</f>
        <v>0</v>
      </c>
      <c r="N341" s="10">
        <f>IF(H341="Sim",VLOOKUP("Minecraft Pass",Parâmetros!$A$11:$B$13,2,0),0)*K341</f>
        <v>0</v>
      </c>
      <c r="O341" s="10">
        <f>IF(I341="Sim",VLOOKUP("Call of Duty Pass",Parâmetros!$A$11:$B$13,2,0),0)*K341</f>
        <v>0</v>
      </c>
      <c r="P341" s="10">
        <f>(L341*K341+M341+N341+O341)*IF(F341="Promoção",1-Parâmetros!$B$22,1)</f>
        <v>179.88</v>
      </c>
      <c r="Q341" s="10">
        <f>Parâmetros!$B$20*K341</f>
        <v>144</v>
      </c>
      <c r="R341" s="10">
        <f>P341-Q341</f>
        <v>35.879999999999995</v>
      </c>
    </row>
    <row r="342" spans="1:18">
      <c r="A342">
        <v>341</v>
      </c>
      <c r="B342" s="8">
        <v>45592</v>
      </c>
      <c r="C342" t="s">
        <v>6</v>
      </c>
      <c r="D342" t="s">
        <v>46</v>
      </c>
      <c r="E342" t="s">
        <v>41</v>
      </c>
      <c r="F342" t="s">
        <v>54</v>
      </c>
      <c r="G342" t="s">
        <v>44</v>
      </c>
      <c r="H342" t="s">
        <v>43</v>
      </c>
      <c r="I342" t="s">
        <v>44</v>
      </c>
      <c r="J342" t="s">
        <v>49</v>
      </c>
      <c r="K342" s="9">
        <v>6</v>
      </c>
      <c r="L342" s="10">
        <f>IFERROR(VLOOKUP(C342,Parâmetros!$A$5:$D$7,IF(D342="Mensal",2,IF(D342="Trimestral",3,4)),0),0)</f>
        <v>9.99</v>
      </c>
      <c r="M342" s="10">
        <f>IF(G342="Sim",VLOOKUP("EA Play",Parâmetros!$A$11:$B$13,2,0),0)*K342</f>
        <v>0</v>
      </c>
      <c r="N342" s="10">
        <f>IF(H342="Sim",VLOOKUP("Minecraft Pass",Parâmetros!$A$11:$B$13,2,0),0)*K342</f>
        <v>23.94</v>
      </c>
      <c r="O342" s="10">
        <f>IF(I342="Sim",VLOOKUP("Call of Duty Pass",Parâmetros!$A$11:$B$13,2,0),0)*K342</f>
        <v>0</v>
      </c>
      <c r="P342" s="10">
        <f>(L342*K342+M342+N342+O342)*IF(F342="Promoção",1-Parâmetros!$B$22,1)</f>
        <v>75.492000000000004</v>
      </c>
      <c r="Q342" s="10">
        <f>Parâmetros!$B$20*K342</f>
        <v>72</v>
      </c>
      <c r="R342" s="10">
        <f>P342-Q342</f>
        <v>3.4920000000000044</v>
      </c>
    </row>
    <row r="343" spans="1:18">
      <c r="A343">
        <v>342</v>
      </c>
      <c r="B343" s="8">
        <v>45519</v>
      </c>
      <c r="C343" t="s">
        <v>6</v>
      </c>
      <c r="D343" t="s">
        <v>40</v>
      </c>
      <c r="E343" t="s">
        <v>41</v>
      </c>
      <c r="F343" t="s">
        <v>52</v>
      </c>
      <c r="G343" t="s">
        <v>43</v>
      </c>
      <c r="H343" t="s">
        <v>43</v>
      </c>
      <c r="I343" t="s">
        <v>43</v>
      </c>
      <c r="J343" t="s">
        <v>45</v>
      </c>
      <c r="K343" s="9">
        <v>31</v>
      </c>
      <c r="L343" s="10">
        <f>IFERROR(VLOOKUP(C343,Parâmetros!$A$5:$D$7,IF(D343="Mensal",2,IF(D343="Trimestral",3,4)),0),0)</f>
        <v>27</v>
      </c>
      <c r="M343" s="10">
        <f>IF(G343="Sim",VLOOKUP("EA Play",Parâmetros!$A$11:$B$13,2,0),0)*K343</f>
        <v>154.69</v>
      </c>
      <c r="N343" s="10">
        <f>IF(H343="Sim",VLOOKUP("Minecraft Pass",Parâmetros!$A$11:$B$13,2,0),0)*K343</f>
        <v>123.69000000000001</v>
      </c>
      <c r="O343" s="10">
        <f>IF(I343="Sim",VLOOKUP("Call of Duty Pass",Parâmetros!$A$11:$B$13,2,0),0)*K343</f>
        <v>216.69</v>
      </c>
      <c r="P343" s="10">
        <f>(L343*K343+M343+N343+O343)*IF(F343="Promoção",1-Parâmetros!$B$22,1)</f>
        <v>1332.0700000000002</v>
      </c>
      <c r="Q343" s="10">
        <f>Parâmetros!$B$20*K343</f>
        <v>372</v>
      </c>
      <c r="R343" s="10">
        <f>P343-Q343</f>
        <v>960.07000000000016</v>
      </c>
    </row>
    <row r="344" spans="1:18">
      <c r="A344">
        <v>343</v>
      </c>
      <c r="B344" s="8">
        <v>45346</v>
      </c>
      <c r="C344" t="s">
        <v>8</v>
      </c>
      <c r="D344" t="s">
        <v>40</v>
      </c>
      <c r="E344" t="s">
        <v>53</v>
      </c>
      <c r="F344" t="s">
        <v>42</v>
      </c>
      <c r="G344" t="s">
        <v>44</v>
      </c>
      <c r="H344" t="s">
        <v>44</v>
      </c>
      <c r="I344" t="s">
        <v>44</v>
      </c>
      <c r="J344" t="s">
        <v>49</v>
      </c>
      <c r="K344" s="9">
        <v>20</v>
      </c>
      <c r="L344" s="10">
        <f>IFERROR(VLOOKUP(C344,Parâmetros!$A$5:$D$7,IF(D344="Mensal",2,IF(D344="Trimestral",3,4)),0),0)</f>
        <v>59</v>
      </c>
      <c r="M344" s="10">
        <f>IF(G344="Sim",VLOOKUP("EA Play",Parâmetros!$A$11:$B$13,2,0),0)*K344</f>
        <v>0</v>
      </c>
      <c r="N344" s="10">
        <f>IF(H344="Sim",VLOOKUP("Minecraft Pass",Parâmetros!$A$11:$B$13,2,0),0)*K344</f>
        <v>0</v>
      </c>
      <c r="O344" s="10">
        <f>IF(I344="Sim",VLOOKUP("Call of Duty Pass",Parâmetros!$A$11:$B$13,2,0),0)*K344</f>
        <v>0</v>
      </c>
      <c r="P344" s="10">
        <f>(L344*K344+M344+N344+O344)*IF(F344="Promoção",1-Parâmetros!$B$22,1)</f>
        <v>1180</v>
      </c>
      <c r="Q344" s="10">
        <f>Parâmetros!$B$20*K344</f>
        <v>240</v>
      </c>
      <c r="R344" s="10">
        <f>P344-Q344</f>
        <v>940</v>
      </c>
    </row>
    <row r="345" spans="1:18">
      <c r="A345">
        <v>344</v>
      </c>
      <c r="B345" s="8">
        <v>45715</v>
      </c>
      <c r="C345" t="s">
        <v>6</v>
      </c>
      <c r="D345" t="s">
        <v>50</v>
      </c>
      <c r="E345" t="s">
        <v>41</v>
      </c>
      <c r="F345" t="s">
        <v>42</v>
      </c>
      <c r="G345" t="s">
        <v>43</v>
      </c>
      <c r="H345" t="s">
        <v>44</v>
      </c>
      <c r="I345" t="s">
        <v>44</v>
      </c>
      <c r="J345" t="s">
        <v>49</v>
      </c>
      <c r="K345" s="9">
        <v>21</v>
      </c>
      <c r="L345" s="10">
        <f>IFERROR(VLOOKUP(C345,Parâmetros!$A$5:$D$7,IF(D345="Mensal",2,IF(D345="Trimestral",3,4)),0),0)</f>
        <v>99</v>
      </c>
      <c r="M345" s="10">
        <f>IF(G345="Sim",VLOOKUP("EA Play",Parâmetros!$A$11:$B$13,2,0),0)*K345</f>
        <v>104.79</v>
      </c>
      <c r="N345" s="10">
        <f>IF(H345="Sim",VLOOKUP("Minecraft Pass",Parâmetros!$A$11:$B$13,2,0),0)*K345</f>
        <v>0</v>
      </c>
      <c r="O345" s="10">
        <f>IF(I345="Sim",VLOOKUP("Call of Duty Pass",Parâmetros!$A$11:$B$13,2,0),0)*K345</f>
        <v>0</v>
      </c>
      <c r="P345" s="10">
        <f>(L345*K345+M345+N345+O345)*IF(F345="Promoção",1-Parâmetros!$B$22,1)</f>
        <v>2183.79</v>
      </c>
      <c r="Q345" s="10">
        <f>Parâmetros!$B$20*K345</f>
        <v>252</v>
      </c>
      <c r="R345" s="10">
        <f>P345-Q345</f>
        <v>1931.79</v>
      </c>
    </row>
    <row r="346" spans="1:18">
      <c r="A346">
        <v>345</v>
      </c>
      <c r="B346" s="8">
        <v>45476</v>
      </c>
      <c r="C346" t="s">
        <v>8</v>
      </c>
      <c r="D346" t="s">
        <v>46</v>
      </c>
      <c r="E346" t="s">
        <v>47</v>
      </c>
      <c r="F346" t="s">
        <v>42</v>
      </c>
      <c r="G346" t="s">
        <v>44</v>
      </c>
      <c r="H346" t="s">
        <v>43</v>
      </c>
      <c r="I346" t="s">
        <v>43</v>
      </c>
      <c r="J346" t="s">
        <v>45</v>
      </c>
      <c r="K346" s="9">
        <v>11</v>
      </c>
      <c r="L346" s="10">
        <f>IFERROR(VLOOKUP(C346,Parâmetros!$A$5:$D$7,IF(D346="Mensal",2,IF(D346="Trimestral",3,4)),0),0)</f>
        <v>21.99</v>
      </c>
      <c r="M346" s="10">
        <f>IF(G346="Sim",VLOOKUP("EA Play",Parâmetros!$A$11:$B$13,2,0),0)*K346</f>
        <v>0</v>
      </c>
      <c r="N346" s="10">
        <f>IF(H346="Sim",VLOOKUP("Minecraft Pass",Parâmetros!$A$11:$B$13,2,0),0)*K346</f>
        <v>43.89</v>
      </c>
      <c r="O346" s="10">
        <f>IF(I346="Sim",VLOOKUP("Call of Duty Pass",Parâmetros!$A$11:$B$13,2,0),0)*K346</f>
        <v>76.89</v>
      </c>
      <c r="P346" s="10">
        <f>(L346*K346+M346+N346+O346)*IF(F346="Promoção",1-Parâmetros!$B$22,1)</f>
        <v>362.66999999999996</v>
      </c>
      <c r="Q346" s="10">
        <f>Parâmetros!$B$20*K346</f>
        <v>132</v>
      </c>
      <c r="R346" s="10">
        <f>P346-Q346</f>
        <v>230.66999999999996</v>
      </c>
    </row>
    <row r="347" spans="1:18">
      <c r="A347">
        <v>346</v>
      </c>
      <c r="B347" s="8">
        <v>45882</v>
      </c>
      <c r="C347" t="s">
        <v>8</v>
      </c>
      <c r="D347" t="s">
        <v>46</v>
      </c>
      <c r="E347" t="s">
        <v>51</v>
      </c>
      <c r="F347" t="s">
        <v>42</v>
      </c>
      <c r="G347" t="s">
        <v>44</v>
      </c>
      <c r="H347" t="s">
        <v>44</v>
      </c>
      <c r="I347" t="s">
        <v>44</v>
      </c>
      <c r="J347" t="s">
        <v>45</v>
      </c>
      <c r="K347" s="9">
        <v>25</v>
      </c>
      <c r="L347" s="10">
        <f>IFERROR(VLOOKUP(C347,Parâmetros!$A$5:$D$7,IF(D347="Mensal",2,IF(D347="Trimestral",3,4)),0),0)</f>
        <v>21.99</v>
      </c>
      <c r="M347" s="10">
        <f>IF(G347="Sim",VLOOKUP("EA Play",Parâmetros!$A$11:$B$13,2,0),0)*K347</f>
        <v>0</v>
      </c>
      <c r="N347" s="10">
        <f>IF(H347="Sim",VLOOKUP("Minecraft Pass",Parâmetros!$A$11:$B$13,2,0),0)*K347</f>
        <v>0</v>
      </c>
      <c r="O347" s="10">
        <f>IF(I347="Sim",VLOOKUP("Call of Duty Pass",Parâmetros!$A$11:$B$13,2,0),0)*K347</f>
        <v>0</v>
      </c>
      <c r="P347" s="10">
        <f>(L347*K347+M347+N347+O347)*IF(F347="Promoção",1-Parâmetros!$B$22,1)</f>
        <v>549.75</v>
      </c>
      <c r="Q347" s="10">
        <f>Parâmetros!$B$20*K347</f>
        <v>300</v>
      </c>
      <c r="R347" s="10">
        <f>P347-Q347</f>
        <v>249.75</v>
      </c>
    </row>
    <row r="348" spans="1:18">
      <c r="A348">
        <v>347</v>
      </c>
      <c r="B348" s="8">
        <v>45296</v>
      </c>
      <c r="C348" t="s">
        <v>6</v>
      </c>
      <c r="D348" t="s">
        <v>46</v>
      </c>
      <c r="E348" t="s">
        <v>41</v>
      </c>
      <c r="F348" t="s">
        <v>42</v>
      </c>
      <c r="G348" t="s">
        <v>43</v>
      </c>
      <c r="H348" t="s">
        <v>44</v>
      </c>
      <c r="I348" t="s">
        <v>43</v>
      </c>
      <c r="J348" t="s">
        <v>45</v>
      </c>
      <c r="K348" s="9">
        <v>16</v>
      </c>
      <c r="L348" s="10">
        <f>IFERROR(VLOOKUP(C348,Parâmetros!$A$5:$D$7,IF(D348="Mensal",2,IF(D348="Trimestral",3,4)),0),0)</f>
        <v>9.99</v>
      </c>
      <c r="M348" s="10">
        <f>IF(G348="Sim",VLOOKUP("EA Play",Parâmetros!$A$11:$B$13,2,0),0)*K348</f>
        <v>79.84</v>
      </c>
      <c r="N348" s="10">
        <f>IF(H348="Sim",VLOOKUP("Minecraft Pass",Parâmetros!$A$11:$B$13,2,0),0)*K348</f>
        <v>0</v>
      </c>
      <c r="O348" s="10">
        <f>IF(I348="Sim",VLOOKUP("Call of Duty Pass",Parâmetros!$A$11:$B$13,2,0),0)*K348</f>
        <v>111.84</v>
      </c>
      <c r="P348" s="10">
        <f>(L348*K348+M348+N348+O348)*IF(F348="Promoção",1-Parâmetros!$B$22,1)</f>
        <v>351.52</v>
      </c>
      <c r="Q348" s="10">
        <f>Parâmetros!$B$20*K348</f>
        <v>192</v>
      </c>
      <c r="R348" s="10">
        <f>P348-Q348</f>
        <v>159.51999999999998</v>
      </c>
    </row>
    <row r="349" spans="1:18">
      <c r="A349">
        <v>348</v>
      </c>
      <c r="B349" s="8">
        <v>45523</v>
      </c>
      <c r="C349" t="s">
        <v>7</v>
      </c>
      <c r="D349" t="s">
        <v>46</v>
      </c>
      <c r="E349" t="s">
        <v>41</v>
      </c>
      <c r="F349" t="s">
        <v>42</v>
      </c>
      <c r="G349" t="s">
        <v>44</v>
      </c>
      <c r="H349" t="s">
        <v>43</v>
      </c>
      <c r="I349" t="s">
        <v>44</v>
      </c>
      <c r="J349" t="s">
        <v>49</v>
      </c>
      <c r="K349" s="9">
        <v>19</v>
      </c>
      <c r="L349" s="10">
        <f>IFERROR(VLOOKUP(C349,Parâmetros!$A$5:$D$7,IF(D349="Mensal",2,IF(D349="Trimestral",3,4)),0),0)</f>
        <v>14.99</v>
      </c>
      <c r="M349" s="10">
        <f>IF(G349="Sim",VLOOKUP("EA Play",Parâmetros!$A$11:$B$13,2,0),0)*K349</f>
        <v>0</v>
      </c>
      <c r="N349" s="10">
        <f>IF(H349="Sim",VLOOKUP("Minecraft Pass",Parâmetros!$A$11:$B$13,2,0),0)*K349</f>
        <v>75.81</v>
      </c>
      <c r="O349" s="10">
        <f>IF(I349="Sim",VLOOKUP("Call of Duty Pass",Parâmetros!$A$11:$B$13,2,0),0)*K349</f>
        <v>0</v>
      </c>
      <c r="P349" s="10">
        <f>(L349*K349+M349+N349+O349)*IF(F349="Promoção",1-Parâmetros!$B$22,1)</f>
        <v>360.62</v>
      </c>
      <c r="Q349" s="10">
        <f>Parâmetros!$B$20*K349</f>
        <v>228</v>
      </c>
      <c r="R349" s="10">
        <f>P349-Q349</f>
        <v>132.62</v>
      </c>
    </row>
    <row r="350" spans="1:18">
      <c r="A350">
        <v>349</v>
      </c>
      <c r="B350" s="8">
        <v>45758</v>
      </c>
      <c r="C350" t="s">
        <v>7</v>
      </c>
      <c r="D350" t="s">
        <v>40</v>
      </c>
      <c r="E350" t="s">
        <v>41</v>
      </c>
      <c r="F350" t="s">
        <v>54</v>
      </c>
      <c r="G350" t="s">
        <v>44</v>
      </c>
      <c r="H350" t="s">
        <v>43</v>
      </c>
      <c r="I350" t="s">
        <v>44</v>
      </c>
      <c r="J350" t="s">
        <v>49</v>
      </c>
      <c r="K350" s="9">
        <v>13</v>
      </c>
      <c r="L350" s="10">
        <f>IFERROR(VLOOKUP(C350,Parâmetros!$A$5:$D$7,IF(D350="Mensal",2,IF(D350="Trimestral",3,4)),0),0)</f>
        <v>40</v>
      </c>
      <c r="M350" s="10">
        <f>IF(G350="Sim",VLOOKUP("EA Play",Parâmetros!$A$11:$B$13,2,0),0)*K350</f>
        <v>0</v>
      </c>
      <c r="N350" s="10">
        <f>IF(H350="Sim",VLOOKUP("Minecraft Pass",Parâmetros!$A$11:$B$13,2,0),0)*K350</f>
        <v>51.870000000000005</v>
      </c>
      <c r="O350" s="10">
        <f>IF(I350="Sim",VLOOKUP("Call of Duty Pass",Parâmetros!$A$11:$B$13,2,0),0)*K350</f>
        <v>0</v>
      </c>
      <c r="P350" s="10">
        <f>(L350*K350+M350+N350+O350)*IF(F350="Promoção",1-Parâmetros!$B$22,1)</f>
        <v>514.68299999999999</v>
      </c>
      <c r="Q350" s="10">
        <f>Parâmetros!$B$20*K350</f>
        <v>156</v>
      </c>
      <c r="R350" s="10">
        <f>P350-Q350</f>
        <v>358.68299999999999</v>
      </c>
    </row>
    <row r="351" spans="1:18">
      <c r="A351">
        <v>350</v>
      </c>
      <c r="B351" s="8">
        <v>45460</v>
      </c>
      <c r="C351" t="s">
        <v>8</v>
      </c>
      <c r="D351" t="s">
        <v>50</v>
      </c>
      <c r="E351" t="s">
        <v>41</v>
      </c>
      <c r="F351" t="s">
        <v>42</v>
      </c>
      <c r="G351" t="s">
        <v>44</v>
      </c>
      <c r="H351" t="s">
        <v>43</v>
      </c>
      <c r="I351" t="s">
        <v>44</v>
      </c>
      <c r="J351" t="s">
        <v>45</v>
      </c>
      <c r="K351" s="9">
        <v>11</v>
      </c>
      <c r="L351" s="10">
        <f>IFERROR(VLOOKUP(C351,Parâmetros!$A$5:$D$7,IF(D351="Mensal",2,IF(D351="Trimestral",3,4)),0),0)</f>
        <v>219</v>
      </c>
      <c r="M351" s="10">
        <f>IF(G351="Sim",VLOOKUP("EA Play",Parâmetros!$A$11:$B$13,2,0),0)*K351</f>
        <v>0</v>
      </c>
      <c r="N351" s="10">
        <f>IF(H351="Sim",VLOOKUP("Minecraft Pass",Parâmetros!$A$11:$B$13,2,0),0)*K351</f>
        <v>43.89</v>
      </c>
      <c r="O351" s="10">
        <f>IF(I351="Sim",VLOOKUP("Call of Duty Pass",Parâmetros!$A$11:$B$13,2,0),0)*K351</f>
        <v>0</v>
      </c>
      <c r="P351" s="10">
        <f>(L351*K351+M351+N351+O351)*IF(F351="Promoção",1-Parâmetros!$B$22,1)</f>
        <v>2452.89</v>
      </c>
      <c r="Q351" s="10">
        <f>Parâmetros!$B$20*K351</f>
        <v>132</v>
      </c>
      <c r="R351" s="10">
        <f>P351-Q351</f>
        <v>2320.89</v>
      </c>
    </row>
    <row r="352" spans="1:18">
      <c r="A352">
        <v>351</v>
      </c>
      <c r="B352" s="8">
        <v>45418</v>
      </c>
      <c r="C352" t="s">
        <v>6</v>
      </c>
      <c r="D352" t="s">
        <v>40</v>
      </c>
      <c r="E352" t="s">
        <v>41</v>
      </c>
      <c r="F352" t="s">
        <v>54</v>
      </c>
      <c r="G352" t="s">
        <v>43</v>
      </c>
      <c r="H352" t="s">
        <v>44</v>
      </c>
      <c r="I352" t="s">
        <v>43</v>
      </c>
      <c r="J352" t="s">
        <v>45</v>
      </c>
      <c r="K352" s="9">
        <v>7</v>
      </c>
      <c r="L352" s="10">
        <f>IFERROR(VLOOKUP(C352,Parâmetros!$A$5:$D$7,IF(D352="Mensal",2,IF(D352="Trimestral",3,4)),0),0)</f>
        <v>27</v>
      </c>
      <c r="M352" s="10">
        <f>IF(G352="Sim",VLOOKUP("EA Play",Parâmetros!$A$11:$B$13,2,0),0)*K352</f>
        <v>34.93</v>
      </c>
      <c r="N352" s="10">
        <f>IF(H352="Sim",VLOOKUP("Minecraft Pass",Parâmetros!$A$11:$B$13,2,0),0)*K352</f>
        <v>0</v>
      </c>
      <c r="O352" s="10">
        <f>IF(I352="Sim",VLOOKUP("Call of Duty Pass",Parâmetros!$A$11:$B$13,2,0),0)*K352</f>
        <v>48.93</v>
      </c>
      <c r="P352" s="10">
        <f>(L352*K352+M352+N352+O352)*IF(F352="Promoção",1-Parâmetros!$B$22,1)</f>
        <v>245.57400000000001</v>
      </c>
      <c r="Q352" s="10">
        <f>Parâmetros!$B$20*K352</f>
        <v>84</v>
      </c>
      <c r="R352" s="10">
        <f>P352-Q352</f>
        <v>161.57400000000001</v>
      </c>
    </row>
    <row r="353" spans="1:18">
      <c r="A353">
        <v>352</v>
      </c>
      <c r="B353" s="8">
        <v>45961</v>
      </c>
      <c r="C353" t="s">
        <v>8</v>
      </c>
      <c r="D353" t="s">
        <v>46</v>
      </c>
      <c r="E353" t="s">
        <v>41</v>
      </c>
      <c r="F353" t="s">
        <v>48</v>
      </c>
      <c r="G353" t="s">
        <v>43</v>
      </c>
      <c r="H353" t="s">
        <v>43</v>
      </c>
      <c r="I353" t="s">
        <v>44</v>
      </c>
      <c r="J353" t="s">
        <v>49</v>
      </c>
      <c r="K353" s="9">
        <v>1</v>
      </c>
      <c r="L353" s="10">
        <f>IFERROR(VLOOKUP(C353,Parâmetros!$A$5:$D$7,IF(D353="Mensal",2,IF(D353="Trimestral",3,4)),0),0)</f>
        <v>21.99</v>
      </c>
      <c r="M353" s="10">
        <f>IF(G353="Sim",VLOOKUP("EA Play",Parâmetros!$A$11:$B$13,2,0),0)*K353</f>
        <v>4.99</v>
      </c>
      <c r="N353" s="10">
        <f>IF(H353="Sim",VLOOKUP("Minecraft Pass",Parâmetros!$A$11:$B$13,2,0),0)*K353</f>
        <v>3.99</v>
      </c>
      <c r="O353" s="10">
        <f>IF(I353="Sim",VLOOKUP("Call of Duty Pass",Parâmetros!$A$11:$B$13,2,0),0)*K353</f>
        <v>0</v>
      </c>
      <c r="P353" s="10">
        <f>(L353*K353+M353+N353+O353)*IF(F353="Promoção",1-Parâmetros!$B$22,1)</f>
        <v>30.97</v>
      </c>
      <c r="Q353" s="10">
        <f>Parâmetros!$B$20*K353</f>
        <v>12</v>
      </c>
      <c r="R353" s="10">
        <f>P353-Q353</f>
        <v>18.97</v>
      </c>
    </row>
    <row r="354" spans="1:18">
      <c r="A354">
        <v>353</v>
      </c>
      <c r="B354" s="8">
        <v>45600</v>
      </c>
      <c r="C354" t="s">
        <v>7</v>
      </c>
      <c r="D354" t="s">
        <v>46</v>
      </c>
      <c r="E354" t="s">
        <v>47</v>
      </c>
      <c r="F354" t="s">
        <v>52</v>
      </c>
      <c r="G354" t="s">
        <v>44</v>
      </c>
      <c r="H354" t="s">
        <v>44</v>
      </c>
      <c r="I354" t="s">
        <v>44</v>
      </c>
      <c r="J354" t="s">
        <v>49</v>
      </c>
      <c r="K354" s="9">
        <v>8</v>
      </c>
      <c r="L354" s="10">
        <f>IFERROR(VLOOKUP(C354,Parâmetros!$A$5:$D$7,IF(D354="Mensal",2,IF(D354="Trimestral",3,4)),0),0)</f>
        <v>14.99</v>
      </c>
      <c r="M354" s="10">
        <f>IF(G354="Sim",VLOOKUP("EA Play",Parâmetros!$A$11:$B$13,2,0),0)*K354</f>
        <v>0</v>
      </c>
      <c r="N354" s="10">
        <f>IF(H354="Sim",VLOOKUP("Minecraft Pass",Parâmetros!$A$11:$B$13,2,0),0)*K354</f>
        <v>0</v>
      </c>
      <c r="O354" s="10">
        <f>IF(I354="Sim",VLOOKUP("Call of Duty Pass",Parâmetros!$A$11:$B$13,2,0),0)*K354</f>
        <v>0</v>
      </c>
      <c r="P354" s="10">
        <f>(L354*K354+M354+N354+O354)*IF(F354="Promoção",1-Parâmetros!$B$22,1)</f>
        <v>119.92</v>
      </c>
      <c r="Q354" s="10">
        <f>Parâmetros!$B$20*K354</f>
        <v>96</v>
      </c>
      <c r="R354" s="10">
        <f>P354-Q354</f>
        <v>23.92</v>
      </c>
    </row>
    <row r="355" spans="1:18">
      <c r="A355">
        <v>354</v>
      </c>
      <c r="B355" s="8">
        <v>45581</v>
      </c>
      <c r="C355" t="s">
        <v>6</v>
      </c>
      <c r="D355" t="s">
        <v>46</v>
      </c>
      <c r="E355" t="s">
        <v>41</v>
      </c>
      <c r="F355" t="s">
        <v>42</v>
      </c>
      <c r="G355" t="s">
        <v>43</v>
      </c>
      <c r="H355" t="s">
        <v>44</v>
      </c>
      <c r="I355" t="s">
        <v>43</v>
      </c>
      <c r="J355" t="s">
        <v>45</v>
      </c>
      <c r="K355" s="9">
        <v>19</v>
      </c>
      <c r="L355" s="10">
        <f>IFERROR(VLOOKUP(C355,Parâmetros!$A$5:$D$7,IF(D355="Mensal",2,IF(D355="Trimestral",3,4)),0),0)</f>
        <v>9.99</v>
      </c>
      <c r="M355" s="10">
        <f>IF(G355="Sim",VLOOKUP("EA Play",Parâmetros!$A$11:$B$13,2,0),0)*K355</f>
        <v>94.81</v>
      </c>
      <c r="N355" s="10">
        <f>IF(H355="Sim",VLOOKUP("Minecraft Pass",Parâmetros!$A$11:$B$13,2,0),0)*K355</f>
        <v>0</v>
      </c>
      <c r="O355" s="10">
        <f>IF(I355="Sim",VLOOKUP("Call of Duty Pass",Parâmetros!$A$11:$B$13,2,0),0)*K355</f>
        <v>132.81</v>
      </c>
      <c r="P355" s="10">
        <f>(L355*K355+M355+N355+O355)*IF(F355="Promoção",1-Parâmetros!$B$22,1)</f>
        <v>417.43</v>
      </c>
      <c r="Q355" s="10">
        <f>Parâmetros!$B$20*K355</f>
        <v>228</v>
      </c>
      <c r="R355" s="10">
        <f>P355-Q355</f>
        <v>189.43</v>
      </c>
    </row>
    <row r="356" spans="1:18">
      <c r="A356">
        <v>355</v>
      </c>
      <c r="B356" s="8">
        <v>45456</v>
      </c>
      <c r="C356" t="s">
        <v>6</v>
      </c>
      <c r="D356" t="s">
        <v>46</v>
      </c>
      <c r="E356" t="s">
        <v>41</v>
      </c>
      <c r="F356" t="s">
        <v>54</v>
      </c>
      <c r="G356" t="s">
        <v>43</v>
      </c>
      <c r="H356" t="s">
        <v>43</v>
      </c>
      <c r="I356" t="s">
        <v>44</v>
      </c>
      <c r="J356" t="s">
        <v>45</v>
      </c>
      <c r="K356" s="9">
        <v>32</v>
      </c>
      <c r="L356" s="10">
        <f>IFERROR(VLOOKUP(C356,Parâmetros!$A$5:$D$7,IF(D356="Mensal",2,IF(D356="Trimestral",3,4)),0),0)</f>
        <v>9.99</v>
      </c>
      <c r="M356" s="10">
        <f>IF(G356="Sim",VLOOKUP("EA Play",Parâmetros!$A$11:$B$13,2,0),0)*K356</f>
        <v>159.68</v>
      </c>
      <c r="N356" s="10">
        <f>IF(H356="Sim",VLOOKUP("Minecraft Pass",Parâmetros!$A$11:$B$13,2,0),0)*K356</f>
        <v>127.68</v>
      </c>
      <c r="O356" s="10">
        <f>IF(I356="Sim",VLOOKUP("Call of Duty Pass",Parâmetros!$A$11:$B$13,2,0),0)*K356</f>
        <v>0</v>
      </c>
      <c r="P356" s="10">
        <f>(L356*K356+M356+N356+O356)*IF(F356="Promoção",1-Parâmetros!$B$22,1)</f>
        <v>546.33600000000001</v>
      </c>
      <c r="Q356" s="10">
        <f>Parâmetros!$B$20*K356</f>
        <v>384</v>
      </c>
      <c r="R356" s="10">
        <f>P356-Q356</f>
        <v>162.33600000000001</v>
      </c>
    </row>
    <row r="357" spans="1:18">
      <c r="A357">
        <v>356</v>
      </c>
      <c r="B357" s="8">
        <v>45444</v>
      </c>
      <c r="C357" t="s">
        <v>8</v>
      </c>
      <c r="D357" t="s">
        <v>40</v>
      </c>
      <c r="E357" t="s">
        <v>41</v>
      </c>
      <c r="F357" t="s">
        <v>52</v>
      </c>
      <c r="G357" t="s">
        <v>44</v>
      </c>
      <c r="H357" t="s">
        <v>44</v>
      </c>
      <c r="I357" t="s">
        <v>44</v>
      </c>
      <c r="J357" t="s">
        <v>45</v>
      </c>
      <c r="K357" s="9">
        <v>17</v>
      </c>
      <c r="L357" s="10">
        <f>IFERROR(VLOOKUP(C357,Parâmetros!$A$5:$D$7,IF(D357="Mensal",2,IF(D357="Trimestral",3,4)),0),0)</f>
        <v>59</v>
      </c>
      <c r="M357" s="10">
        <f>IF(G357="Sim",VLOOKUP("EA Play",Parâmetros!$A$11:$B$13,2,0),0)*K357</f>
        <v>0</v>
      </c>
      <c r="N357" s="10">
        <f>IF(H357="Sim",VLOOKUP("Minecraft Pass",Parâmetros!$A$11:$B$13,2,0),0)*K357</f>
        <v>0</v>
      </c>
      <c r="O357" s="10">
        <f>IF(I357="Sim",VLOOKUP("Call of Duty Pass",Parâmetros!$A$11:$B$13,2,0),0)*K357</f>
        <v>0</v>
      </c>
      <c r="P357" s="10">
        <f>(L357*K357+M357+N357+O357)*IF(F357="Promoção",1-Parâmetros!$B$22,1)</f>
        <v>1003</v>
      </c>
      <c r="Q357" s="10">
        <f>Parâmetros!$B$20*K357</f>
        <v>204</v>
      </c>
      <c r="R357" s="10">
        <f>P357-Q357</f>
        <v>799</v>
      </c>
    </row>
    <row r="358" spans="1:18">
      <c r="A358">
        <v>357</v>
      </c>
      <c r="B358" s="8">
        <v>45767</v>
      </c>
      <c r="C358" t="s">
        <v>6</v>
      </c>
      <c r="D358" t="s">
        <v>50</v>
      </c>
      <c r="E358" t="s">
        <v>55</v>
      </c>
      <c r="F358" t="s">
        <v>54</v>
      </c>
      <c r="G358" t="s">
        <v>43</v>
      </c>
      <c r="H358" t="s">
        <v>44</v>
      </c>
      <c r="I358" t="s">
        <v>44</v>
      </c>
      <c r="J358" t="s">
        <v>49</v>
      </c>
      <c r="K358" s="9">
        <v>3</v>
      </c>
      <c r="L358" s="10">
        <f>IFERROR(VLOOKUP(C358,Parâmetros!$A$5:$D$7,IF(D358="Mensal",2,IF(D358="Trimestral",3,4)),0),0)</f>
        <v>99</v>
      </c>
      <c r="M358" s="10">
        <f>IF(G358="Sim",VLOOKUP("EA Play",Parâmetros!$A$11:$B$13,2,0),0)*K358</f>
        <v>14.97</v>
      </c>
      <c r="N358" s="10">
        <f>IF(H358="Sim",VLOOKUP("Minecraft Pass",Parâmetros!$A$11:$B$13,2,0),0)*K358</f>
        <v>0</v>
      </c>
      <c r="O358" s="10">
        <f>IF(I358="Sim",VLOOKUP("Call of Duty Pass",Parâmetros!$A$11:$B$13,2,0),0)*K358</f>
        <v>0</v>
      </c>
      <c r="P358" s="10">
        <f>(L358*K358+M358+N358+O358)*IF(F358="Promoção",1-Parâmetros!$B$22,1)</f>
        <v>280.77300000000002</v>
      </c>
      <c r="Q358" s="10">
        <f>Parâmetros!$B$20*K358</f>
        <v>36</v>
      </c>
      <c r="R358" s="10">
        <f>P358-Q358</f>
        <v>244.77300000000002</v>
      </c>
    </row>
    <row r="359" spans="1:18">
      <c r="A359">
        <v>358</v>
      </c>
      <c r="B359" s="8">
        <v>45301</v>
      </c>
      <c r="C359" t="s">
        <v>8</v>
      </c>
      <c r="D359" t="s">
        <v>40</v>
      </c>
      <c r="E359" t="s">
        <v>41</v>
      </c>
      <c r="F359" t="s">
        <v>42</v>
      </c>
      <c r="G359" t="s">
        <v>43</v>
      </c>
      <c r="H359" t="s">
        <v>44</v>
      </c>
      <c r="I359" t="s">
        <v>44</v>
      </c>
      <c r="J359" t="s">
        <v>49</v>
      </c>
      <c r="K359" s="9">
        <v>22</v>
      </c>
      <c r="L359" s="10">
        <f>IFERROR(VLOOKUP(C359,Parâmetros!$A$5:$D$7,IF(D359="Mensal",2,IF(D359="Trimestral",3,4)),0),0)</f>
        <v>59</v>
      </c>
      <c r="M359" s="10">
        <f>IF(G359="Sim",VLOOKUP("EA Play",Parâmetros!$A$11:$B$13,2,0),0)*K359</f>
        <v>109.78</v>
      </c>
      <c r="N359" s="10">
        <f>IF(H359="Sim",VLOOKUP("Minecraft Pass",Parâmetros!$A$11:$B$13,2,0),0)*K359</f>
        <v>0</v>
      </c>
      <c r="O359" s="10">
        <f>IF(I359="Sim",VLOOKUP("Call of Duty Pass",Parâmetros!$A$11:$B$13,2,0),0)*K359</f>
        <v>0</v>
      </c>
      <c r="P359" s="10">
        <f>(L359*K359+M359+N359+O359)*IF(F359="Promoção",1-Parâmetros!$B$22,1)</f>
        <v>1407.78</v>
      </c>
      <c r="Q359" s="10">
        <f>Parâmetros!$B$20*K359</f>
        <v>264</v>
      </c>
      <c r="R359" s="10">
        <f>P359-Q359</f>
        <v>1143.78</v>
      </c>
    </row>
    <row r="360" spans="1:18">
      <c r="A360">
        <v>359</v>
      </c>
      <c r="B360" s="8">
        <v>45479</v>
      </c>
      <c r="C360" t="s">
        <v>6</v>
      </c>
      <c r="D360" t="s">
        <v>46</v>
      </c>
      <c r="E360" t="s">
        <v>47</v>
      </c>
      <c r="F360" t="s">
        <v>54</v>
      </c>
      <c r="G360" t="s">
        <v>44</v>
      </c>
      <c r="H360" t="s">
        <v>44</v>
      </c>
      <c r="I360" t="s">
        <v>44</v>
      </c>
      <c r="J360" t="s">
        <v>45</v>
      </c>
      <c r="K360" s="9">
        <v>11</v>
      </c>
      <c r="L360" s="10">
        <f>IFERROR(VLOOKUP(C360,Parâmetros!$A$5:$D$7,IF(D360="Mensal",2,IF(D360="Trimestral",3,4)),0),0)</f>
        <v>9.99</v>
      </c>
      <c r="M360" s="10">
        <f>IF(G360="Sim",VLOOKUP("EA Play",Parâmetros!$A$11:$B$13,2,0),0)*K360</f>
        <v>0</v>
      </c>
      <c r="N360" s="10">
        <f>IF(H360="Sim",VLOOKUP("Minecraft Pass",Parâmetros!$A$11:$B$13,2,0),0)*K360</f>
        <v>0</v>
      </c>
      <c r="O360" s="10">
        <f>IF(I360="Sim",VLOOKUP("Call of Duty Pass",Parâmetros!$A$11:$B$13,2,0),0)*K360</f>
        <v>0</v>
      </c>
      <c r="P360" s="10">
        <f>(L360*K360+M360+N360+O360)*IF(F360="Promoção",1-Parâmetros!$B$22,1)</f>
        <v>98.900999999999996</v>
      </c>
      <c r="Q360" s="10">
        <f>Parâmetros!$B$20*K360</f>
        <v>132</v>
      </c>
      <c r="R360" s="10">
        <f>P360-Q360</f>
        <v>-33.099000000000004</v>
      </c>
    </row>
    <row r="361" spans="1:18">
      <c r="A361">
        <v>360</v>
      </c>
      <c r="B361" s="8">
        <v>45407</v>
      </c>
      <c r="C361" t="s">
        <v>6</v>
      </c>
      <c r="D361" t="s">
        <v>40</v>
      </c>
      <c r="E361" t="s">
        <v>53</v>
      </c>
      <c r="F361" t="s">
        <v>54</v>
      </c>
      <c r="G361" t="s">
        <v>43</v>
      </c>
      <c r="H361" t="s">
        <v>44</v>
      </c>
      <c r="I361" t="s">
        <v>44</v>
      </c>
      <c r="J361" t="s">
        <v>45</v>
      </c>
      <c r="K361" s="9">
        <v>29</v>
      </c>
      <c r="L361" s="10">
        <f>IFERROR(VLOOKUP(C361,Parâmetros!$A$5:$D$7,IF(D361="Mensal",2,IF(D361="Trimestral",3,4)),0),0)</f>
        <v>27</v>
      </c>
      <c r="M361" s="10">
        <f>IF(G361="Sim",VLOOKUP("EA Play",Parâmetros!$A$11:$B$13,2,0),0)*K361</f>
        <v>144.71</v>
      </c>
      <c r="N361" s="10">
        <f>IF(H361="Sim",VLOOKUP("Minecraft Pass",Parâmetros!$A$11:$B$13,2,0),0)*K361</f>
        <v>0</v>
      </c>
      <c r="O361" s="10">
        <f>IF(I361="Sim",VLOOKUP("Call of Duty Pass",Parâmetros!$A$11:$B$13,2,0),0)*K361</f>
        <v>0</v>
      </c>
      <c r="P361" s="10">
        <f>(L361*K361+M361+N361+O361)*IF(F361="Promoção",1-Parâmetros!$B$22,1)</f>
        <v>834.93900000000008</v>
      </c>
      <c r="Q361" s="10">
        <f>Parâmetros!$B$20*K361</f>
        <v>348</v>
      </c>
      <c r="R361" s="10">
        <f>P361-Q361</f>
        <v>486.93900000000008</v>
      </c>
    </row>
    <row r="362" spans="1:18">
      <c r="A362">
        <v>361</v>
      </c>
      <c r="B362" s="8">
        <v>45477</v>
      </c>
      <c r="C362" t="s">
        <v>7</v>
      </c>
      <c r="D362" t="s">
        <v>40</v>
      </c>
      <c r="E362" t="s">
        <v>47</v>
      </c>
      <c r="F362" t="s">
        <v>54</v>
      </c>
      <c r="G362" t="s">
        <v>44</v>
      </c>
      <c r="H362" t="s">
        <v>44</v>
      </c>
      <c r="I362" t="s">
        <v>44</v>
      </c>
      <c r="J362" t="s">
        <v>49</v>
      </c>
      <c r="K362" s="9">
        <v>32</v>
      </c>
      <c r="L362" s="10">
        <f>IFERROR(VLOOKUP(C362,Parâmetros!$A$5:$D$7,IF(D362="Mensal",2,IF(D362="Trimestral",3,4)),0),0)</f>
        <v>40</v>
      </c>
      <c r="M362" s="10">
        <f>IF(G362="Sim",VLOOKUP("EA Play",Parâmetros!$A$11:$B$13,2,0),0)*K362</f>
        <v>0</v>
      </c>
      <c r="N362" s="10">
        <f>IF(H362="Sim",VLOOKUP("Minecraft Pass",Parâmetros!$A$11:$B$13,2,0),0)*K362</f>
        <v>0</v>
      </c>
      <c r="O362" s="10">
        <f>IF(I362="Sim",VLOOKUP("Call of Duty Pass",Parâmetros!$A$11:$B$13,2,0),0)*K362</f>
        <v>0</v>
      </c>
      <c r="P362" s="10">
        <f>(L362*K362+M362+N362+O362)*IF(F362="Promoção",1-Parâmetros!$B$22,1)</f>
        <v>1152</v>
      </c>
      <c r="Q362" s="10">
        <f>Parâmetros!$B$20*K362</f>
        <v>384</v>
      </c>
      <c r="R362" s="10">
        <f>P362-Q362</f>
        <v>768</v>
      </c>
    </row>
    <row r="363" spans="1:18">
      <c r="A363">
        <v>362</v>
      </c>
      <c r="B363" s="8">
        <v>45407</v>
      </c>
      <c r="C363" t="s">
        <v>8</v>
      </c>
      <c r="D363" t="s">
        <v>46</v>
      </c>
      <c r="E363" t="s">
        <v>41</v>
      </c>
      <c r="F363" t="s">
        <v>52</v>
      </c>
      <c r="G363" t="s">
        <v>43</v>
      </c>
      <c r="H363" t="s">
        <v>44</v>
      </c>
      <c r="I363" t="s">
        <v>44</v>
      </c>
      <c r="J363" t="s">
        <v>45</v>
      </c>
      <c r="K363" s="9">
        <v>15</v>
      </c>
      <c r="L363" s="10">
        <f>IFERROR(VLOOKUP(C363,Parâmetros!$A$5:$D$7,IF(D363="Mensal",2,IF(D363="Trimestral",3,4)),0),0)</f>
        <v>21.99</v>
      </c>
      <c r="M363" s="10">
        <f>IF(G363="Sim",VLOOKUP("EA Play",Parâmetros!$A$11:$B$13,2,0),0)*K363</f>
        <v>74.850000000000009</v>
      </c>
      <c r="N363" s="10">
        <f>IF(H363="Sim",VLOOKUP("Minecraft Pass",Parâmetros!$A$11:$B$13,2,0),0)*K363</f>
        <v>0</v>
      </c>
      <c r="O363" s="10">
        <f>IF(I363="Sim",VLOOKUP("Call of Duty Pass",Parâmetros!$A$11:$B$13,2,0),0)*K363</f>
        <v>0</v>
      </c>
      <c r="P363" s="10">
        <f>(L363*K363+M363+N363+O363)*IF(F363="Promoção",1-Parâmetros!$B$22,1)</f>
        <v>404.7</v>
      </c>
      <c r="Q363" s="10">
        <f>Parâmetros!$B$20*K363</f>
        <v>180</v>
      </c>
      <c r="R363" s="10">
        <f>P363-Q363</f>
        <v>224.7</v>
      </c>
    </row>
    <row r="364" spans="1:18">
      <c r="A364">
        <v>363</v>
      </c>
      <c r="B364" s="8">
        <v>45977</v>
      </c>
      <c r="C364" t="s">
        <v>8</v>
      </c>
      <c r="D364" t="s">
        <v>40</v>
      </c>
      <c r="E364" t="s">
        <v>51</v>
      </c>
      <c r="F364" t="s">
        <v>52</v>
      </c>
      <c r="G364" t="s">
        <v>43</v>
      </c>
      <c r="H364" t="s">
        <v>44</v>
      </c>
      <c r="I364" t="s">
        <v>44</v>
      </c>
      <c r="J364" t="s">
        <v>45</v>
      </c>
      <c r="K364" s="9">
        <v>25</v>
      </c>
      <c r="L364" s="10">
        <f>IFERROR(VLOOKUP(C364,Parâmetros!$A$5:$D$7,IF(D364="Mensal",2,IF(D364="Trimestral",3,4)),0),0)</f>
        <v>59</v>
      </c>
      <c r="M364" s="10">
        <f>IF(G364="Sim",VLOOKUP("EA Play",Parâmetros!$A$11:$B$13,2,0),0)*K364</f>
        <v>124.75</v>
      </c>
      <c r="N364" s="10">
        <f>IF(H364="Sim",VLOOKUP("Minecraft Pass",Parâmetros!$A$11:$B$13,2,0),0)*K364</f>
        <v>0</v>
      </c>
      <c r="O364" s="10">
        <f>IF(I364="Sim",VLOOKUP("Call of Duty Pass",Parâmetros!$A$11:$B$13,2,0),0)*K364</f>
        <v>0</v>
      </c>
      <c r="P364" s="10">
        <f>(L364*K364+M364+N364+O364)*IF(F364="Promoção",1-Parâmetros!$B$22,1)</f>
        <v>1599.75</v>
      </c>
      <c r="Q364" s="10">
        <f>Parâmetros!$B$20*K364</f>
        <v>300</v>
      </c>
      <c r="R364" s="10">
        <f>P364-Q364</f>
        <v>1299.75</v>
      </c>
    </row>
    <row r="365" spans="1:18">
      <c r="A365">
        <v>364</v>
      </c>
      <c r="B365" s="8">
        <v>45444</v>
      </c>
      <c r="C365" t="s">
        <v>8</v>
      </c>
      <c r="D365" t="s">
        <v>40</v>
      </c>
      <c r="E365" t="s">
        <v>53</v>
      </c>
      <c r="F365" t="s">
        <v>42</v>
      </c>
      <c r="G365" t="s">
        <v>44</v>
      </c>
      <c r="H365" t="s">
        <v>43</v>
      </c>
      <c r="I365" t="s">
        <v>44</v>
      </c>
      <c r="J365" t="s">
        <v>45</v>
      </c>
      <c r="K365" s="9">
        <v>11</v>
      </c>
      <c r="L365" s="10">
        <f>IFERROR(VLOOKUP(C365,Parâmetros!$A$5:$D$7,IF(D365="Mensal",2,IF(D365="Trimestral",3,4)),0),0)</f>
        <v>59</v>
      </c>
      <c r="M365" s="10">
        <f>IF(G365="Sim",VLOOKUP("EA Play",Parâmetros!$A$11:$B$13,2,0),0)*K365</f>
        <v>0</v>
      </c>
      <c r="N365" s="10">
        <f>IF(H365="Sim",VLOOKUP("Minecraft Pass",Parâmetros!$A$11:$B$13,2,0),0)*K365</f>
        <v>43.89</v>
      </c>
      <c r="O365" s="10">
        <f>IF(I365="Sim",VLOOKUP("Call of Duty Pass",Parâmetros!$A$11:$B$13,2,0),0)*K365</f>
        <v>0</v>
      </c>
      <c r="P365" s="10">
        <f>(L365*K365+M365+N365+O365)*IF(F365="Promoção",1-Parâmetros!$B$22,1)</f>
        <v>692.89</v>
      </c>
      <c r="Q365" s="10">
        <f>Parâmetros!$B$20*K365</f>
        <v>132</v>
      </c>
      <c r="R365" s="10">
        <f>P365-Q365</f>
        <v>560.89</v>
      </c>
    </row>
    <row r="366" spans="1:18">
      <c r="A366">
        <v>365</v>
      </c>
      <c r="B366" s="8">
        <v>45368</v>
      </c>
      <c r="C366" t="s">
        <v>8</v>
      </c>
      <c r="D366" t="s">
        <v>46</v>
      </c>
      <c r="E366" t="s">
        <v>41</v>
      </c>
      <c r="F366" t="s">
        <v>42</v>
      </c>
      <c r="G366" t="s">
        <v>44</v>
      </c>
      <c r="H366" t="s">
        <v>44</v>
      </c>
      <c r="I366" t="s">
        <v>44</v>
      </c>
      <c r="J366" t="s">
        <v>45</v>
      </c>
      <c r="K366" s="9">
        <v>6</v>
      </c>
      <c r="L366" s="10">
        <f>IFERROR(VLOOKUP(C366,Parâmetros!$A$5:$D$7,IF(D366="Mensal",2,IF(D366="Trimestral",3,4)),0),0)</f>
        <v>21.99</v>
      </c>
      <c r="M366" s="10">
        <f>IF(G366="Sim",VLOOKUP("EA Play",Parâmetros!$A$11:$B$13,2,0),0)*K366</f>
        <v>0</v>
      </c>
      <c r="N366" s="10">
        <f>IF(H366="Sim",VLOOKUP("Minecraft Pass",Parâmetros!$A$11:$B$13,2,0),0)*K366</f>
        <v>0</v>
      </c>
      <c r="O366" s="10">
        <f>IF(I366="Sim",VLOOKUP("Call of Duty Pass",Parâmetros!$A$11:$B$13,2,0),0)*K366</f>
        <v>0</v>
      </c>
      <c r="P366" s="10">
        <f>(L366*K366+M366+N366+O366)*IF(F366="Promoção",1-Parâmetros!$B$22,1)</f>
        <v>131.94</v>
      </c>
      <c r="Q366" s="10">
        <f>Parâmetros!$B$20*K366</f>
        <v>72</v>
      </c>
      <c r="R366" s="10">
        <f>P366-Q366</f>
        <v>59.94</v>
      </c>
    </row>
    <row r="367" spans="1:18">
      <c r="A367">
        <v>366</v>
      </c>
      <c r="B367" s="8">
        <v>45762</v>
      </c>
      <c r="C367" t="s">
        <v>7</v>
      </c>
      <c r="D367" t="s">
        <v>40</v>
      </c>
      <c r="E367" t="s">
        <v>41</v>
      </c>
      <c r="F367" t="s">
        <v>48</v>
      </c>
      <c r="G367" t="s">
        <v>43</v>
      </c>
      <c r="H367" t="s">
        <v>44</v>
      </c>
      <c r="I367" t="s">
        <v>44</v>
      </c>
      <c r="J367" t="s">
        <v>49</v>
      </c>
      <c r="K367" s="9">
        <v>26</v>
      </c>
      <c r="L367" s="10">
        <f>IFERROR(VLOOKUP(C367,Parâmetros!$A$5:$D$7,IF(D367="Mensal",2,IF(D367="Trimestral",3,4)),0),0)</f>
        <v>40</v>
      </c>
      <c r="M367" s="10">
        <f>IF(G367="Sim",VLOOKUP("EA Play",Parâmetros!$A$11:$B$13,2,0),0)*K367</f>
        <v>129.74</v>
      </c>
      <c r="N367" s="10">
        <f>IF(H367="Sim",VLOOKUP("Minecraft Pass",Parâmetros!$A$11:$B$13,2,0),0)*K367</f>
        <v>0</v>
      </c>
      <c r="O367" s="10">
        <f>IF(I367="Sim",VLOOKUP("Call of Duty Pass",Parâmetros!$A$11:$B$13,2,0),0)*K367</f>
        <v>0</v>
      </c>
      <c r="P367" s="10">
        <f>(L367*K367+M367+N367+O367)*IF(F367="Promoção",1-Parâmetros!$B$22,1)</f>
        <v>1169.74</v>
      </c>
      <c r="Q367" s="10">
        <f>Parâmetros!$B$20*K367</f>
        <v>312</v>
      </c>
      <c r="R367" s="10">
        <f>P367-Q367</f>
        <v>857.74</v>
      </c>
    </row>
    <row r="368" spans="1:18">
      <c r="A368">
        <v>367</v>
      </c>
      <c r="B368" s="8">
        <v>45714</v>
      </c>
      <c r="C368" t="s">
        <v>6</v>
      </c>
      <c r="D368" t="s">
        <v>40</v>
      </c>
      <c r="E368" t="s">
        <v>51</v>
      </c>
      <c r="F368" t="s">
        <v>52</v>
      </c>
      <c r="G368" t="s">
        <v>44</v>
      </c>
      <c r="H368" t="s">
        <v>44</v>
      </c>
      <c r="I368" t="s">
        <v>44</v>
      </c>
      <c r="J368" t="s">
        <v>45</v>
      </c>
      <c r="K368" s="9">
        <v>30</v>
      </c>
      <c r="L368" s="10">
        <f>IFERROR(VLOOKUP(C368,Parâmetros!$A$5:$D$7,IF(D368="Mensal",2,IF(D368="Trimestral",3,4)),0),0)</f>
        <v>27</v>
      </c>
      <c r="M368" s="10">
        <f>IF(G368="Sim",VLOOKUP("EA Play",Parâmetros!$A$11:$B$13,2,0),0)*K368</f>
        <v>0</v>
      </c>
      <c r="N368" s="10">
        <f>IF(H368="Sim",VLOOKUP("Minecraft Pass",Parâmetros!$A$11:$B$13,2,0),0)*K368</f>
        <v>0</v>
      </c>
      <c r="O368" s="10">
        <f>IF(I368="Sim",VLOOKUP("Call of Duty Pass",Parâmetros!$A$11:$B$13,2,0),0)*K368</f>
        <v>0</v>
      </c>
      <c r="P368" s="10">
        <f>(L368*K368+M368+N368+O368)*IF(F368="Promoção",1-Parâmetros!$B$22,1)</f>
        <v>810</v>
      </c>
      <c r="Q368" s="10">
        <f>Parâmetros!$B$20*K368</f>
        <v>360</v>
      </c>
      <c r="R368" s="10">
        <f>P368-Q368</f>
        <v>450</v>
      </c>
    </row>
    <row r="369" spans="1:18">
      <c r="A369">
        <v>368</v>
      </c>
      <c r="B369" s="8">
        <v>45641</v>
      </c>
      <c r="C369" t="s">
        <v>6</v>
      </c>
      <c r="D369" t="s">
        <v>46</v>
      </c>
      <c r="E369" t="s">
        <v>41</v>
      </c>
      <c r="F369" t="s">
        <v>48</v>
      </c>
      <c r="G369" t="s">
        <v>44</v>
      </c>
      <c r="H369" t="s">
        <v>44</v>
      </c>
      <c r="I369" t="s">
        <v>44</v>
      </c>
      <c r="J369" t="s">
        <v>45</v>
      </c>
      <c r="K369" s="9">
        <v>29</v>
      </c>
      <c r="L369" s="10">
        <f>IFERROR(VLOOKUP(C369,Parâmetros!$A$5:$D$7,IF(D369="Mensal",2,IF(D369="Trimestral",3,4)),0),0)</f>
        <v>9.99</v>
      </c>
      <c r="M369" s="10">
        <f>IF(G369="Sim",VLOOKUP("EA Play",Parâmetros!$A$11:$B$13,2,0),0)*K369</f>
        <v>0</v>
      </c>
      <c r="N369" s="10">
        <f>IF(H369="Sim",VLOOKUP("Minecraft Pass",Parâmetros!$A$11:$B$13,2,0),0)*K369</f>
        <v>0</v>
      </c>
      <c r="O369" s="10">
        <f>IF(I369="Sim",VLOOKUP("Call of Duty Pass",Parâmetros!$A$11:$B$13,2,0),0)*K369</f>
        <v>0</v>
      </c>
      <c r="P369" s="10">
        <f>(L369*K369+M369+N369+O369)*IF(F369="Promoção",1-Parâmetros!$B$22,1)</f>
        <v>289.70999999999998</v>
      </c>
      <c r="Q369" s="10">
        <f>Parâmetros!$B$20*K369</f>
        <v>348</v>
      </c>
      <c r="R369" s="10">
        <f>P369-Q369</f>
        <v>-58.29000000000002</v>
      </c>
    </row>
    <row r="370" spans="1:18">
      <c r="A370">
        <v>369</v>
      </c>
      <c r="B370" s="8">
        <v>45408</v>
      </c>
      <c r="C370" t="s">
        <v>6</v>
      </c>
      <c r="D370" t="s">
        <v>40</v>
      </c>
      <c r="E370" t="s">
        <v>41</v>
      </c>
      <c r="F370" t="s">
        <v>42</v>
      </c>
      <c r="G370" t="s">
        <v>44</v>
      </c>
      <c r="H370" t="s">
        <v>44</v>
      </c>
      <c r="I370" t="s">
        <v>44</v>
      </c>
      <c r="J370" t="s">
        <v>49</v>
      </c>
      <c r="K370" s="9">
        <v>7</v>
      </c>
      <c r="L370" s="10">
        <f>IFERROR(VLOOKUP(C370,Parâmetros!$A$5:$D$7,IF(D370="Mensal",2,IF(D370="Trimestral",3,4)),0),0)</f>
        <v>27</v>
      </c>
      <c r="M370" s="10">
        <f>IF(G370="Sim",VLOOKUP("EA Play",Parâmetros!$A$11:$B$13,2,0),0)*K370</f>
        <v>0</v>
      </c>
      <c r="N370" s="10">
        <f>IF(H370="Sim",VLOOKUP("Minecraft Pass",Parâmetros!$A$11:$B$13,2,0),0)*K370</f>
        <v>0</v>
      </c>
      <c r="O370" s="10">
        <f>IF(I370="Sim",VLOOKUP("Call of Duty Pass",Parâmetros!$A$11:$B$13,2,0),0)*K370</f>
        <v>0</v>
      </c>
      <c r="P370" s="10">
        <f>(L370*K370+M370+N370+O370)*IF(F370="Promoção",1-Parâmetros!$B$22,1)</f>
        <v>189</v>
      </c>
      <c r="Q370" s="10">
        <f>Parâmetros!$B$20*K370</f>
        <v>84</v>
      </c>
      <c r="R370" s="10">
        <f>P370-Q370</f>
        <v>105</v>
      </c>
    </row>
    <row r="371" spans="1:18">
      <c r="A371">
        <v>370</v>
      </c>
      <c r="B371" s="8">
        <v>45338</v>
      </c>
      <c r="C371" t="s">
        <v>8</v>
      </c>
      <c r="D371" t="s">
        <v>46</v>
      </c>
      <c r="E371" t="s">
        <v>51</v>
      </c>
      <c r="F371" t="s">
        <v>52</v>
      </c>
      <c r="G371" t="s">
        <v>43</v>
      </c>
      <c r="H371" t="s">
        <v>43</v>
      </c>
      <c r="I371" t="s">
        <v>43</v>
      </c>
      <c r="J371" t="s">
        <v>49</v>
      </c>
      <c r="K371" s="9">
        <v>26</v>
      </c>
      <c r="L371" s="10">
        <f>IFERROR(VLOOKUP(C371,Parâmetros!$A$5:$D$7,IF(D371="Mensal",2,IF(D371="Trimestral",3,4)),0),0)</f>
        <v>21.99</v>
      </c>
      <c r="M371" s="10">
        <f>IF(G371="Sim",VLOOKUP("EA Play",Parâmetros!$A$11:$B$13,2,0),0)*K371</f>
        <v>129.74</v>
      </c>
      <c r="N371" s="10">
        <f>IF(H371="Sim",VLOOKUP("Minecraft Pass",Parâmetros!$A$11:$B$13,2,0),0)*K371</f>
        <v>103.74000000000001</v>
      </c>
      <c r="O371" s="10">
        <f>IF(I371="Sim",VLOOKUP("Call of Duty Pass",Parâmetros!$A$11:$B$13,2,0),0)*K371</f>
        <v>181.74</v>
      </c>
      <c r="P371" s="10">
        <f>(L371*K371+M371+N371+O371)*IF(F371="Promoção",1-Parâmetros!$B$22,1)</f>
        <v>986.96</v>
      </c>
      <c r="Q371" s="10">
        <f>Parâmetros!$B$20*K371</f>
        <v>312</v>
      </c>
      <c r="R371" s="10">
        <f>P371-Q371</f>
        <v>674.96</v>
      </c>
    </row>
    <row r="372" spans="1:18">
      <c r="A372">
        <v>371</v>
      </c>
      <c r="B372" s="8">
        <v>45512</v>
      </c>
      <c r="C372" t="s">
        <v>7</v>
      </c>
      <c r="D372" t="s">
        <v>40</v>
      </c>
      <c r="E372" t="s">
        <v>51</v>
      </c>
      <c r="F372" t="s">
        <v>42</v>
      </c>
      <c r="G372" t="s">
        <v>43</v>
      </c>
      <c r="H372" t="s">
        <v>44</v>
      </c>
      <c r="I372" t="s">
        <v>44</v>
      </c>
      <c r="J372" t="s">
        <v>45</v>
      </c>
      <c r="K372" s="9">
        <v>29</v>
      </c>
      <c r="L372" s="10">
        <f>IFERROR(VLOOKUP(C372,Parâmetros!$A$5:$D$7,IF(D372="Mensal",2,IF(D372="Trimestral",3,4)),0),0)</f>
        <v>40</v>
      </c>
      <c r="M372" s="10">
        <f>IF(G372="Sim",VLOOKUP("EA Play",Parâmetros!$A$11:$B$13,2,0),0)*K372</f>
        <v>144.71</v>
      </c>
      <c r="N372" s="10">
        <f>IF(H372="Sim",VLOOKUP("Minecraft Pass",Parâmetros!$A$11:$B$13,2,0),0)*K372</f>
        <v>0</v>
      </c>
      <c r="O372" s="10">
        <f>IF(I372="Sim",VLOOKUP("Call of Duty Pass",Parâmetros!$A$11:$B$13,2,0),0)*K372</f>
        <v>0</v>
      </c>
      <c r="P372" s="10">
        <f>(L372*K372+M372+N372+O372)*IF(F372="Promoção",1-Parâmetros!$B$22,1)</f>
        <v>1304.71</v>
      </c>
      <c r="Q372" s="10">
        <f>Parâmetros!$B$20*K372</f>
        <v>348</v>
      </c>
      <c r="R372" s="10">
        <f>P372-Q372</f>
        <v>956.71</v>
      </c>
    </row>
    <row r="373" spans="1:18">
      <c r="A373">
        <v>372</v>
      </c>
      <c r="B373" s="8">
        <v>45760</v>
      </c>
      <c r="C373" t="s">
        <v>7</v>
      </c>
      <c r="D373" t="s">
        <v>50</v>
      </c>
      <c r="E373" t="s">
        <v>41</v>
      </c>
      <c r="F373" t="s">
        <v>48</v>
      </c>
      <c r="G373" t="s">
        <v>44</v>
      </c>
      <c r="H373" t="s">
        <v>43</v>
      </c>
      <c r="I373" t="s">
        <v>44</v>
      </c>
      <c r="J373" t="s">
        <v>45</v>
      </c>
      <c r="K373" s="9">
        <v>31</v>
      </c>
      <c r="L373" s="10">
        <f>IFERROR(VLOOKUP(C373,Parâmetros!$A$5:$D$7,IF(D373="Mensal",2,IF(D373="Trimestral",3,4)),0),0)</f>
        <v>149</v>
      </c>
      <c r="M373" s="10">
        <f>IF(G373="Sim",VLOOKUP("EA Play",Parâmetros!$A$11:$B$13,2,0),0)*K373</f>
        <v>0</v>
      </c>
      <c r="N373" s="10">
        <f>IF(H373="Sim",VLOOKUP("Minecraft Pass",Parâmetros!$A$11:$B$13,2,0),0)*K373</f>
        <v>123.69000000000001</v>
      </c>
      <c r="O373" s="10">
        <f>IF(I373="Sim",VLOOKUP("Call of Duty Pass",Parâmetros!$A$11:$B$13,2,0),0)*K373</f>
        <v>0</v>
      </c>
      <c r="P373" s="10">
        <f>(L373*K373+M373+N373+O373)*IF(F373="Promoção",1-Parâmetros!$B$22,1)</f>
        <v>4742.6899999999996</v>
      </c>
      <c r="Q373" s="10">
        <f>Parâmetros!$B$20*K373</f>
        <v>372</v>
      </c>
      <c r="R373" s="10">
        <f>P373-Q373</f>
        <v>4370.6899999999996</v>
      </c>
    </row>
    <row r="374" spans="1:18">
      <c r="A374">
        <v>373</v>
      </c>
      <c r="B374" s="8">
        <v>45812</v>
      </c>
      <c r="C374" t="s">
        <v>8</v>
      </c>
      <c r="D374" t="s">
        <v>50</v>
      </c>
      <c r="E374" t="s">
        <v>51</v>
      </c>
      <c r="F374" t="s">
        <v>42</v>
      </c>
      <c r="G374" t="s">
        <v>44</v>
      </c>
      <c r="H374" t="s">
        <v>43</v>
      </c>
      <c r="I374" t="s">
        <v>44</v>
      </c>
      <c r="J374" t="s">
        <v>45</v>
      </c>
      <c r="K374" s="9">
        <v>21</v>
      </c>
      <c r="L374" s="10">
        <f>IFERROR(VLOOKUP(C374,Parâmetros!$A$5:$D$7,IF(D374="Mensal",2,IF(D374="Trimestral",3,4)),0),0)</f>
        <v>219</v>
      </c>
      <c r="M374" s="10">
        <f>IF(G374="Sim",VLOOKUP("EA Play",Parâmetros!$A$11:$B$13,2,0),0)*K374</f>
        <v>0</v>
      </c>
      <c r="N374" s="10">
        <f>IF(H374="Sim",VLOOKUP("Minecraft Pass",Parâmetros!$A$11:$B$13,2,0),0)*K374</f>
        <v>83.79</v>
      </c>
      <c r="O374" s="10">
        <f>IF(I374="Sim",VLOOKUP("Call of Duty Pass",Parâmetros!$A$11:$B$13,2,0),0)*K374</f>
        <v>0</v>
      </c>
      <c r="P374" s="10">
        <f>(L374*K374+M374+N374+O374)*IF(F374="Promoção",1-Parâmetros!$B$22,1)</f>
        <v>4682.79</v>
      </c>
      <c r="Q374" s="10">
        <f>Parâmetros!$B$20*K374</f>
        <v>252</v>
      </c>
      <c r="R374" s="10">
        <f>P374-Q374</f>
        <v>4430.79</v>
      </c>
    </row>
    <row r="375" spans="1:18">
      <c r="A375">
        <v>374</v>
      </c>
      <c r="B375" s="8">
        <v>45808</v>
      </c>
      <c r="C375" t="s">
        <v>8</v>
      </c>
      <c r="D375" t="s">
        <v>46</v>
      </c>
      <c r="E375" t="s">
        <v>47</v>
      </c>
      <c r="F375" t="s">
        <v>52</v>
      </c>
      <c r="G375" t="s">
        <v>43</v>
      </c>
      <c r="H375" t="s">
        <v>43</v>
      </c>
      <c r="I375" t="s">
        <v>44</v>
      </c>
      <c r="J375" t="s">
        <v>49</v>
      </c>
      <c r="K375" s="9">
        <v>9</v>
      </c>
      <c r="L375" s="10">
        <f>IFERROR(VLOOKUP(C375,Parâmetros!$A$5:$D$7,IF(D375="Mensal",2,IF(D375="Trimestral",3,4)),0),0)</f>
        <v>21.99</v>
      </c>
      <c r="M375" s="10">
        <f>IF(G375="Sim",VLOOKUP("EA Play",Parâmetros!$A$11:$B$13,2,0),0)*K375</f>
        <v>44.910000000000004</v>
      </c>
      <c r="N375" s="10">
        <f>IF(H375="Sim",VLOOKUP("Minecraft Pass",Parâmetros!$A$11:$B$13,2,0),0)*K375</f>
        <v>35.910000000000004</v>
      </c>
      <c r="O375" s="10">
        <f>IF(I375="Sim",VLOOKUP("Call of Duty Pass",Parâmetros!$A$11:$B$13,2,0),0)*K375</f>
        <v>0</v>
      </c>
      <c r="P375" s="10">
        <f>(L375*K375+M375+N375+O375)*IF(F375="Promoção",1-Parâmetros!$B$22,1)</f>
        <v>278.73</v>
      </c>
      <c r="Q375" s="10">
        <f>Parâmetros!$B$20*K375</f>
        <v>108</v>
      </c>
      <c r="R375" s="10">
        <f>P375-Q375</f>
        <v>170.73000000000002</v>
      </c>
    </row>
    <row r="376" spans="1:18">
      <c r="A376">
        <v>375</v>
      </c>
      <c r="B376" s="8">
        <v>45433</v>
      </c>
      <c r="C376" t="s">
        <v>7</v>
      </c>
      <c r="D376" t="s">
        <v>40</v>
      </c>
      <c r="E376" t="s">
        <v>51</v>
      </c>
      <c r="F376" t="s">
        <v>42</v>
      </c>
      <c r="G376" t="s">
        <v>44</v>
      </c>
      <c r="H376" t="s">
        <v>44</v>
      </c>
      <c r="I376" t="s">
        <v>44</v>
      </c>
      <c r="J376" t="s">
        <v>45</v>
      </c>
      <c r="K376" s="9">
        <v>14</v>
      </c>
      <c r="L376" s="10">
        <f>IFERROR(VLOOKUP(C376,Parâmetros!$A$5:$D$7,IF(D376="Mensal",2,IF(D376="Trimestral",3,4)),0),0)</f>
        <v>40</v>
      </c>
      <c r="M376" s="10">
        <f>IF(G376="Sim",VLOOKUP("EA Play",Parâmetros!$A$11:$B$13,2,0),0)*K376</f>
        <v>0</v>
      </c>
      <c r="N376" s="10">
        <f>IF(H376="Sim",VLOOKUP("Minecraft Pass",Parâmetros!$A$11:$B$13,2,0),0)*K376</f>
        <v>0</v>
      </c>
      <c r="O376" s="10">
        <f>IF(I376="Sim",VLOOKUP("Call of Duty Pass",Parâmetros!$A$11:$B$13,2,0),0)*K376</f>
        <v>0</v>
      </c>
      <c r="P376" s="10">
        <f>(L376*K376+M376+N376+O376)*IF(F376="Promoção",1-Parâmetros!$B$22,1)</f>
        <v>560</v>
      </c>
      <c r="Q376" s="10">
        <f>Parâmetros!$B$20*K376</f>
        <v>168</v>
      </c>
      <c r="R376" s="10">
        <f>P376-Q376</f>
        <v>392</v>
      </c>
    </row>
    <row r="377" spans="1:18">
      <c r="A377">
        <v>376</v>
      </c>
      <c r="B377" s="8">
        <v>45497</v>
      </c>
      <c r="C377" t="s">
        <v>6</v>
      </c>
      <c r="D377" t="s">
        <v>40</v>
      </c>
      <c r="E377" t="s">
        <v>51</v>
      </c>
      <c r="F377" t="s">
        <v>54</v>
      </c>
      <c r="G377" t="s">
        <v>43</v>
      </c>
      <c r="H377" t="s">
        <v>44</v>
      </c>
      <c r="I377" t="s">
        <v>44</v>
      </c>
      <c r="J377" t="s">
        <v>49</v>
      </c>
      <c r="K377" s="9">
        <v>35</v>
      </c>
      <c r="L377" s="10">
        <f>IFERROR(VLOOKUP(C377,Parâmetros!$A$5:$D$7,IF(D377="Mensal",2,IF(D377="Trimestral",3,4)),0),0)</f>
        <v>27</v>
      </c>
      <c r="M377" s="10">
        <f>IF(G377="Sim",VLOOKUP("EA Play",Parâmetros!$A$11:$B$13,2,0),0)*K377</f>
        <v>174.65</v>
      </c>
      <c r="N377" s="10">
        <f>IF(H377="Sim",VLOOKUP("Minecraft Pass",Parâmetros!$A$11:$B$13,2,0),0)*K377</f>
        <v>0</v>
      </c>
      <c r="O377" s="10">
        <f>IF(I377="Sim",VLOOKUP("Call of Duty Pass",Parâmetros!$A$11:$B$13,2,0),0)*K377</f>
        <v>0</v>
      </c>
      <c r="P377" s="10">
        <f>(L377*K377+M377+N377+O377)*IF(F377="Promoção",1-Parâmetros!$B$22,1)</f>
        <v>1007.6850000000001</v>
      </c>
      <c r="Q377" s="10">
        <f>Parâmetros!$B$20*K377</f>
        <v>420</v>
      </c>
      <c r="R377" s="10">
        <f>P377-Q377</f>
        <v>587.68500000000006</v>
      </c>
    </row>
    <row r="378" spans="1:18">
      <c r="A378">
        <v>377</v>
      </c>
      <c r="B378" s="8">
        <v>46002</v>
      </c>
      <c r="C378" t="s">
        <v>7</v>
      </c>
      <c r="D378" t="s">
        <v>40</v>
      </c>
      <c r="E378" t="s">
        <v>51</v>
      </c>
      <c r="F378" t="s">
        <v>48</v>
      </c>
      <c r="G378" t="s">
        <v>44</v>
      </c>
      <c r="H378" t="s">
        <v>44</v>
      </c>
      <c r="I378" t="s">
        <v>44</v>
      </c>
      <c r="J378" t="s">
        <v>45</v>
      </c>
      <c r="K378" s="9">
        <v>35</v>
      </c>
      <c r="L378" s="10">
        <f>IFERROR(VLOOKUP(C378,Parâmetros!$A$5:$D$7,IF(D378="Mensal",2,IF(D378="Trimestral",3,4)),0),0)</f>
        <v>40</v>
      </c>
      <c r="M378" s="10">
        <f>IF(G378="Sim",VLOOKUP("EA Play",Parâmetros!$A$11:$B$13,2,0),0)*K378</f>
        <v>0</v>
      </c>
      <c r="N378" s="10">
        <f>IF(H378="Sim",VLOOKUP("Minecraft Pass",Parâmetros!$A$11:$B$13,2,0),0)*K378</f>
        <v>0</v>
      </c>
      <c r="O378" s="10">
        <f>IF(I378="Sim",VLOOKUP("Call of Duty Pass",Parâmetros!$A$11:$B$13,2,0),0)*K378</f>
        <v>0</v>
      </c>
      <c r="P378" s="10">
        <f>(L378*K378+M378+N378+O378)*IF(F378="Promoção",1-Parâmetros!$B$22,1)</f>
        <v>1400</v>
      </c>
      <c r="Q378" s="10">
        <f>Parâmetros!$B$20*K378</f>
        <v>420</v>
      </c>
      <c r="R378" s="10">
        <f>P378-Q378</f>
        <v>980</v>
      </c>
    </row>
    <row r="379" spans="1:18">
      <c r="A379">
        <v>378</v>
      </c>
      <c r="B379" s="8">
        <v>45584</v>
      </c>
      <c r="C379" t="s">
        <v>8</v>
      </c>
      <c r="D379" t="s">
        <v>46</v>
      </c>
      <c r="E379" t="s">
        <v>41</v>
      </c>
      <c r="F379" t="s">
        <v>42</v>
      </c>
      <c r="G379" t="s">
        <v>43</v>
      </c>
      <c r="H379" t="s">
        <v>43</v>
      </c>
      <c r="I379" t="s">
        <v>43</v>
      </c>
      <c r="J379" t="s">
        <v>49</v>
      </c>
      <c r="K379" s="9">
        <v>11</v>
      </c>
      <c r="L379" s="10">
        <f>IFERROR(VLOOKUP(C379,Parâmetros!$A$5:$D$7,IF(D379="Mensal",2,IF(D379="Trimestral",3,4)),0),0)</f>
        <v>21.99</v>
      </c>
      <c r="M379" s="10">
        <f>IF(G379="Sim",VLOOKUP("EA Play",Parâmetros!$A$11:$B$13,2,0),0)*K379</f>
        <v>54.89</v>
      </c>
      <c r="N379" s="10">
        <f>IF(H379="Sim",VLOOKUP("Minecraft Pass",Parâmetros!$A$11:$B$13,2,0),0)*K379</f>
        <v>43.89</v>
      </c>
      <c r="O379" s="10">
        <f>IF(I379="Sim",VLOOKUP("Call of Duty Pass",Parâmetros!$A$11:$B$13,2,0),0)*K379</f>
        <v>76.89</v>
      </c>
      <c r="P379" s="10">
        <f>(L379*K379+M379+N379+O379)*IF(F379="Promoção",1-Parâmetros!$B$22,1)</f>
        <v>417.55999999999995</v>
      </c>
      <c r="Q379" s="10">
        <f>Parâmetros!$B$20*K379</f>
        <v>132</v>
      </c>
      <c r="R379" s="10">
        <f>P379-Q379</f>
        <v>285.55999999999995</v>
      </c>
    </row>
    <row r="380" spans="1:18">
      <c r="A380">
        <v>379</v>
      </c>
      <c r="B380" s="8">
        <v>45585</v>
      </c>
      <c r="C380" t="s">
        <v>7</v>
      </c>
      <c r="D380" t="s">
        <v>46</v>
      </c>
      <c r="E380" t="s">
        <v>41</v>
      </c>
      <c r="F380" t="s">
        <v>52</v>
      </c>
      <c r="G380" t="s">
        <v>43</v>
      </c>
      <c r="H380" t="s">
        <v>44</v>
      </c>
      <c r="I380" t="s">
        <v>44</v>
      </c>
      <c r="J380" t="s">
        <v>49</v>
      </c>
      <c r="K380" s="9">
        <v>15</v>
      </c>
      <c r="L380" s="10">
        <f>IFERROR(VLOOKUP(C380,Parâmetros!$A$5:$D$7,IF(D380="Mensal",2,IF(D380="Trimestral",3,4)),0),0)</f>
        <v>14.99</v>
      </c>
      <c r="M380" s="10">
        <f>IF(G380="Sim",VLOOKUP("EA Play",Parâmetros!$A$11:$B$13,2,0),0)*K380</f>
        <v>74.850000000000009</v>
      </c>
      <c r="N380" s="10">
        <f>IF(H380="Sim",VLOOKUP("Minecraft Pass",Parâmetros!$A$11:$B$13,2,0),0)*K380</f>
        <v>0</v>
      </c>
      <c r="O380" s="10">
        <f>IF(I380="Sim",VLOOKUP("Call of Duty Pass",Parâmetros!$A$11:$B$13,2,0),0)*K380</f>
        <v>0</v>
      </c>
      <c r="P380" s="10">
        <f>(L380*K380+M380+N380+O380)*IF(F380="Promoção",1-Parâmetros!$B$22,1)</f>
        <v>299.7</v>
      </c>
      <c r="Q380" s="10">
        <f>Parâmetros!$B$20*K380</f>
        <v>180</v>
      </c>
      <c r="R380" s="10">
        <f>P380-Q380</f>
        <v>119.69999999999999</v>
      </c>
    </row>
    <row r="381" spans="1:18">
      <c r="A381">
        <v>380</v>
      </c>
      <c r="B381" s="8">
        <v>45954</v>
      </c>
      <c r="C381" t="s">
        <v>7</v>
      </c>
      <c r="D381" t="s">
        <v>46</v>
      </c>
      <c r="E381" t="s">
        <v>51</v>
      </c>
      <c r="F381" t="s">
        <v>52</v>
      </c>
      <c r="G381" t="s">
        <v>43</v>
      </c>
      <c r="H381" t="s">
        <v>44</v>
      </c>
      <c r="I381" t="s">
        <v>44</v>
      </c>
      <c r="J381" t="s">
        <v>49</v>
      </c>
      <c r="K381" s="9">
        <v>21</v>
      </c>
      <c r="L381" s="10">
        <f>IFERROR(VLOOKUP(C381,Parâmetros!$A$5:$D$7,IF(D381="Mensal",2,IF(D381="Trimestral",3,4)),0),0)</f>
        <v>14.99</v>
      </c>
      <c r="M381" s="10">
        <f>IF(G381="Sim",VLOOKUP("EA Play",Parâmetros!$A$11:$B$13,2,0),0)*K381</f>
        <v>104.79</v>
      </c>
      <c r="N381" s="10">
        <f>IF(H381="Sim",VLOOKUP("Minecraft Pass",Parâmetros!$A$11:$B$13,2,0),0)*K381</f>
        <v>0</v>
      </c>
      <c r="O381" s="10">
        <f>IF(I381="Sim",VLOOKUP("Call of Duty Pass",Parâmetros!$A$11:$B$13,2,0),0)*K381</f>
        <v>0</v>
      </c>
      <c r="P381" s="10">
        <f>(L381*K381+M381+N381+O381)*IF(F381="Promoção",1-Parâmetros!$B$22,1)</f>
        <v>419.58000000000004</v>
      </c>
      <c r="Q381" s="10">
        <f>Parâmetros!$B$20*K381</f>
        <v>252</v>
      </c>
      <c r="R381" s="10">
        <f>P381-Q381</f>
        <v>167.58000000000004</v>
      </c>
    </row>
    <row r="382" spans="1:18">
      <c r="A382">
        <v>381</v>
      </c>
      <c r="B382" s="8">
        <v>45857</v>
      </c>
      <c r="C382" t="s">
        <v>6</v>
      </c>
      <c r="D382" t="s">
        <v>40</v>
      </c>
      <c r="E382" t="s">
        <v>41</v>
      </c>
      <c r="F382" t="s">
        <v>54</v>
      </c>
      <c r="G382" t="s">
        <v>44</v>
      </c>
      <c r="H382" t="s">
        <v>44</v>
      </c>
      <c r="I382" t="s">
        <v>43</v>
      </c>
      <c r="J382" t="s">
        <v>45</v>
      </c>
      <c r="K382" s="9">
        <v>24</v>
      </c>
      <c r="L382" s="10">
        <f>IFERROR(VLOOKUP(C382,Parâmetros!$A$5:$D$7,IF(D382="Mensal",2,IF(D382="Trimestral",3,4)),0),0)</f>
        <v>27</v>
      </c>
      <c r="M382" s="10">
        <f>IF(G382="Sim",VLOOKUP("EA Play",Parâmetros!$A$11:$B$13,2,0),0)*K382</f>
        <v>0</v>
      </c>
      <c r="N382" s="10">
        <f>IF(H382="Sim",VLOOKUP("Minecraft Pass",Parâmetros!$A$11:$B$13,2,0),0)*K382</f>
        <v>0</v>
      </c>
      <c r="O382" s="10">
        <f>IF(I382="Sim",VLOOKUP("Call of Duty Pass",Parâmetros!$A$11:$B$13,2,0),0)*K382</f>
        <v>167.76</v>
      </c>
      <c r="P382" s="10">
        <f>(L382*K382+M382+N382+O382)*IF(F382="Promoção",1-Parâmetros!$B$22,1)</f>
        <v>734.18399999999997</v>
      </c>
      <c r="Q382" s="10">
        <f>Parâmetros!$B$20*K382</f>
        <v>288</v>
      </c>
      <c r="R382" s="10">
        <f>P382-Q382</f>
        <v>446.18399999999997</v>
      </c>
    </row>
    <row r="383" spans="1:18">
      <c r="A383">
        <v>382</v>
      </c>
      <c r="B383" s="8">
        <v>45894</v>
      </c>
      <c r="C383" t="s">
        <v>7</v>
      </c>
      <c r="D383" t="s">
        <v>40</v>
      </c>
      <c r="E383" t="s">
        <v>51</v>
      </c>
      <c r="F383" t="s">
        <v>54</v>
      </c>
      <c r="G383" t="s">
        <v>43</v>
      </c>
      <c r="H383" t="s">
        <v>43</v>
      </c>
      <c r="I383" t="s">
        <v>44</v>
      </c>
      <c r="J383" t="s">
        <v>49</v>
      </c>
      <c r="K383" s="9">
        <v>12</v>
      </c>
      <c r="L383" s="10">
        <f>IFERROR(VLOOKUP(C383,Parâmetros!$A$5:$D$7,IF(D383="Mensal",2,IF(D383="Trimestral",3,4)),0),0)</f>
        <v>40</v>
      </c>
      <c r="M383" s="10">
        <f>IF(G383="Sim",VLOOKUP("EA Play",Parâmetros!$A$11:$B$13,2,0),0)*K383</f>
        <v>59.88</v>
      </c>
      <c r="N383" s="10">
        <f>IF(H383="Sim",VLOOKUP("Minecraft Pass",Parâmetros!$A$11:$B$13,2,0),0)*K383</f>
        <v>47.88</v>
      </c>
      <c r="O383" s="10">
        <f>IF(I383="Sim",VLOOKUP("Call of Duty Pass",Parâmetros!$A$11:$B$13,2,0),0)*K383</f>
        <v>0</v>
      </c>
      <c r="P383" s="10">
        <f>(L383*K383+M383+N383+O383)*IF(F383="Promoção",1-Parâmetros!$B$22,1)</f>
        <v>528.98400000000004</v>
      </c>
      <c r="Q383" s="10">
        <f>Parâmetros!$B$20*K383</f>
        <v>144</v>
      </c>
      <c r="R383" s="10">
        <f>P383-Q383</f>
        <v>384.98400000000004</v>
      </c>
    </row>
    <row r="384" spans="1:18">
      <c r="A384">
        <v>383</v>
      </c>
      <c r="B384" s="8">
        <v>45818</v>
      </c>
      <c r="C384" t="s">
        <v>6</v>
      </c>
      <c r="D384" t="s">
        <v>46</v>
      </c>
      <c r="E384" t="s">
        <v>41</v>
      </c>
      <c r="F384" t="s">
        <v>42</v>
      </c>
      <c r="G384" t="s">
        <v>43</v>
      </c>
      <c r="H384" t="s">
        <v>44</v>
      </c>
      <c r="I384" t="s">
        <v>43</v>
      </c>
      <c r="J384" t="s">
        <v>49</v>
      </c>
      <c r="K384" s="9">
        <v>10</v>
      </c>
      <c r="L384" s="10">
        <f>IFERROR(VLOOKUP(C384,Parâmetros!$A$5:$D$7,IF(D384="Mensal",2,IF(D384="Trimestral",3,4)),0),0)</f>
        <v>9.99</v>
      </c>
      <c r="M384" s="10">
        <f>IF(G384="Sim",VLOOKUP("EA Play",Parâmetros!$A$11:$B$13,2,0),0)*K384</f>
        <v>49.900000000000006</v>
      </c>
      <c r="N384" s="10">
        <f>IF(H384="Sim",VLOOKUP("Minecraft Pass",Parâmetros!$A$11:$B$13,2,0),0)*K384</f>
        <v>0</v>
      </c>
      <c r="O384" s="10">
        <f>IF(I384="Sim",VLOOKUP("Call of Duty Pass",Parâmetros!$A$11:$B$13,2,0),0)*K384</f>
        <v>69.900000000000006</v>
      </c>
      <c r="P384" s="10">
        <f>(L384*K384+M384+N384+O384)*IF(F384="Promoção",1-Parâmetros!$B$22,1)</f>
        <v>219.70000000000002</v>
      </c>
      <c r="Q384" s="10">
        <f>Parâmetros!$B$20*K384</f>
        <v>120</v>
      </c>
      <c r="R384" s="10">
        <f>P384-Q384</f>
        <v>99.700000000000017</v>
      </c>
    </row>
    <row r="385" spans="1:18">
      <c r="A385">
        <v>384</v>
      </c>
      <c r="B385" s="8">
        <v>45332</v>
      </c>
      <c r="C385" t="s">
        <v>6</v>
      </c>
      <c r="D385" t="s">
        <v>46</v>
      </c>
      <c r="E385" t="s">
        <v>41</v>
      </c>
      <c r="F385" t="s">
        <v>54</v>
      </c>
      <c r="G385" t="s">
        <v>44</v>
      </c>
      <c r="H385" t="s">
        <v>44</v>
      </c>
      <c r="I385" t="s">
        <v>44</v>
      </c>
      <c r="J385" t="s">
        <v>45</v>
      </c>
      <c r="K385" s="9">
        <v>23</v>
      </c>
      <c r="L385" s="10">
        <f>IFERROR(VLOOKUP(C385,Parâmetros!$A$5:$D$7,IF(D385="Mensal",2,IF(D385="Trimestral",3,4)),0),0)</f>
        <v>9.99</v>
      </c>
      <c r="M385" s="10">
        <f>IF(G385="Sim",VLOOKUP("EA Play",Parâmetros!$A$11:$B$13,2,0),0)*K385</f>
        <v>0</v>
      </c>
      <c r="N385" s="10">
        <f>IF(H385="Sim",VLOOKUP("Minecraft Pass",Parâmetros!$A$11:$B$13,2,0),0)*K385</f>
        <v>0</v>
      </c>
      <c r="O385" s="10">
        <f>IF(I385="Sim",VLOOKUP("Call of Duty Pass",Parâmetros!$A$11:$B$13,2,0),0)*K385</f>
        <v>0</v>
      </c>
      <c r="P385" s="10">
        <f>(L385*K385+M385+N385+O385)*IF(F385="Promoção",1-Parâmetros!$B$22,1)</f>
        <v>206.79300000000001</v>
      </c>
      <c r="Q385" s="10">
        <f>Parâmetros!$B$20*K385</f>
        <v>276</v>
      </c>
      <c r="R385" s="10">
        <f>P385-Q385</f>
        <v>-69.206999999999994</v>
      </c>
    </row>
    <row r="386" spans="1:18">
      <c r="A386">
        <v>385</v>
      </c>
      <c r="B386" s="8">
        <v>45366</v>
      </c>
      <c r="C386" t="s">
        <v>8</v>
      </c>
      <c r="D386" t="s">
        <v>46</v>
      </c>
      <c r="E386" t="s">
        <v>41</v>
      </c>
      <c r="F386" t="s">
        <v>42</v>
      </c>
      <c r="G386" t="s">
        <v>43</v>
      </c>
      <c r="H386" t="s">
        <v>44</v>
      </c>
      <c r="I386" t="s">
        <v>44</v>
      </c>
      <c r="J386" t="s">
        <v>49</v>
      </c>
      <c r="K386" s="9">
        <v>6</v>
      </c>
      <c r="L386" s="10">
        <f>IFERROR(VLOOKUP(C386,Parâmetros!$A$5:$D$7,IF(D386="Mensal",2,IF(D386="Trimestral",3,4)),0),0)</f>
        <v>21.99</v>
      </c>
      <c r="M386" s="10">
        <f>IF(G386="Sim",VLOOKUP("EA Play",Parâmetros!$A$11:$B$13,2,0),0)*K386</f>
        <v>29.94</v>
      </c>
      <c r="N386" s="10">
        <f>IF(H386="Sim",VLOOKUP("Minecraft Pass",Parâmetros!$A$11:$B$13,2,0),0)*K386</f>
        <v>0</v>
      </c>
      <c r="O386" s="10">
        <f>IF(I386="Sim",VLOOKUP("Call of Duty Pass",Parâmetros!$A$11:$B$13,2,0),0)*K386</f>
        <v>0</v>
      </c>
      <c r="P386" s="10">
        <f>(L386*K386+M386+N386+O386)*IF(F386="Promoção",1-Parâmetros!$B$22,1)</f>
        <v>161.88</v>
      </c>
      <c r="Q386" s="10">
        <f>Parâmetros!$B$20*K386</f>
        <v>72</v>
      </c>
      <c r="R386" s="10">
        <f>P386-Q386</f>
        <v>89.88</v>
      </c>
    </row>
    <row r="387" spans="1:18">
      <c r="A387">
        <v>386</v>
      </c>
      <c r="B387" s="8">
        <v>45649</v>
      </c>
      <c r="C387" t="s">
        <v>6</v>
      </c>
      <c r="D387" t="s">
        <v>46</v>
      </c>
      <c r="E387" t="s">
        <v>41</v>
      </c>
      <c r="F387" t="s">
        <v>42</v>
      </c>
      <c r="G387" t="s">
        <v>43</v>
      </c>
      <c r="H387" t="s">
        <v>44</v>
      </c>
      <c r="I387" t="s">
        <v>44</v>
      </c>
      <c r="J387" t="s">
        <v>45</v>
      </c>
      <c r="K387" s="9">
        <v>1</v>
      </c>
      <c r="L387" s="10">
        <f>IFERROR(VLOOKUP(C387,Parâmetros!$A$5:$D$7,IF(D387="Mensal",2,IF(D387="Trimestral",3,4)),0),0)</f>
        <v>9.99</v>
      </c>
      <c r="M387" s="10">
        <f>IF(G387="Sim",VLOOKUP("EA Play",Parâmetros!$A$11:$B$13,2,0),0)*K387</f>
        <v>4.99</v>
      </c>
      <c r="N387" s="10">
        <f>IF(H387="Sim",VLOOKUP("Minecraft Pass",Parâmetros!$A$11:$B$13,2,0),0)*K387</f>
        <v>0</v>
      </c>
      <c r="O387" s="10">
        <f>IF(I387="Sim",VLOOKUP("Call of Duty Pass",Parâmetros!$A$11:$B$13,2,0),0)*K387</f>
        <v>0</v>
      </c>
      <c r="P387" s="10">
        <f>(L387*K387+M387+N387+O387)*IF(F387="Promoção",1-Parâmetros!$B$22,1)</f>
        <v>14.98</v>
      </c>
      <c r="Q387" s="10">
        <f>Parâmetros!$B$20*K387</f>
        <v>12</v>
      </c>
      <c r="R387" s="10">
        <f>P387-Q387</f>
        <v>2.9800000000000004</v>
      </c>
    </row>
    <row r="388" spans="1:18">
      <c r="A388">
        <v>387</v>
      </c>
      <c r="B388" s="8">
        <v>45409</v>
      </c>
      <c r="C388" t="s">
        <v>7</v>
      </c>
      <c r="D388" t="s">
        <v>46</v>
      </c>
      <c r="E388" t="s">
        <v>55</v>
      </c>
      <c r="F388" t="s">
        <v>52</v>
      </c>
      <c r="G388" t="s">
        <v>44</v>
      </c>
      <c r="H388" t="s">
        <v>44</v>
      </c>
      <c r="I388" t="s">
        <v>44</v>
      </c>
      <c r="J388" t="s">
        <v>49</v>
      </c>
      <c r="K388" s="9">
        <v>8</v>
      </c>
      <c r="L388" s="10">
        <f>IFERROR(VLOOKUP(C388,Parâmetros!$A$5:$D$7,IF(D388="Mensal",2,IF(D388="Trimestral",3,4)),0),0)</f>
        <v>14.99</v>
      </c>
      <c r="M388" s="10">
        <f>IF(G388="Sim",VLOOKUP("EA Play",Parâmetros!$A$11:$B$13,2,0),0)*K388</f>
        <v>0</v>
      </c>
      <c r="N388" s="10">
        <f>IF(H388="Sim",VLOOKUP("Minecraft Pass",Parâmetros!$A$11:$B$13,2,0),0)*K388</f>
        <v>0</v>
      </c>
      <c r="O388" s="10">
        <f>IF(I388="Sim",VLOOKUP("Call of Duty Pass",Parâmetros!$A$11:$B$13,2,0),0)*K388</f>
        <v>0</v>
      </c>
      <c r="P388" s="10">
        <f>(L388*K388+M388+N388+O388)*IF(F388="Promoção",1-Parâmetros!$B$22,1)</f>
        <v>119.92</v>
      </c>
      <c r="Q388" s="10">
        <f>Parâmetros!$B$20*K388</f>
        <v>96</v>
      </c>
      <c r="R388" s="10">
        <f>P388-Q388</f>
        <v>23.92</v>
      </c>
    </row>
    <row r="389" spans="1:18">
      <c r="A389">
        <v>388</v>
      </c>
      <c r="B389" s="8">
        <v>45687</v>
      </c>
      <c r="C389" t="s">
        <v>6</v>
      </c>
      <c r="D389" t="s">
        <v>40</v>
      </c>
      <c r="E389" t="s">
        <v>41</v>
      </c>
      <c r="F389" t="s">
        <v>48</v>
      </c>
      <c r="G389" t="s">
        <v>44</v>
      </c>
      <c r="H389" t="s">
        <v>44</v>
      </c>
      <c r="I389" t="s">
        <v>44</v>
      </c>
      <c r="J389" t="s">
        <v>49</v>
      </c>
      <c r="K389" s="9">
        <v>19</v>
      </c>
      <c r="L389" s="10">
        <f>IFERROR(VLOOKUP(C389,Parâmetros!$A$5:$D$7,IF(D389="Mensal",2,IF(D389="Trimestral",3,4)),0),0)</f>
        <v>27</v>
      </c>
      <c r="M389" s="10">
        <f>IF(G389="Sim",VLOOKUP("EA Play",Parâmetros!$A$11:$B$13,2,0),0)*K389</f>
        <v>0</v>
      </c>
      <c r="N389" s="10">
        <f>IF(H389="Sim",VLOOKUP("Minecraft Pass",Parâmetros!$A$11:$B$13,2,0),0)*K389</f>
        <v>0</v>
      </c>
      <c r="O389" s="10">
        <f>IF(I389="Sim",VLOOKUP("Call of Duty Pass",Parâmetros!$A$11:$B$13,2,0),0)*K389</f>
        <v>0</v>
      </c>
      <c r="P389" s="10">
        <f>(L389*K389+M389+N389+O389)*IF(F389="Promoção",1-Parâmetros!$B$22,1)</f>
        <v>513</v>
      </c>
      <c r="Q389" s="10">
        <f>Parâmetros!$B$20*K389</f>
        <v>228</v>
      </c>
      <c r="R389" s="10">
        <f>P389-Q389</f>
        <v>285</v>
      </c>
    </row>
    <row r="390" spans="1:18">
      <c r="A390">
        <v>389</v>
      </c>
      <c r="B390" s="8">
        <v>45959</v>
      </c>
      <c r="C390" t="s">
        <v>6</v>
      </c>
      <c r="D390" t="s">
        <v>40</v>
      </c>
      <c r="E390" t="s">
        <v>53</v>
      </c>
      <c r="F390" t="s">
        <v>42</v>
      </c>
      <c r="G390" t="s">
        <v>44</v>
      </c>
      <c r="H390" t="s">
        <v>44</v>
      </c>
      <c r="I390" t="s">
        <v>43</v>
      </c>
      <c r="J390" t="s">
        <v>49</v>
      </c>
      <c r="K390" s="9">
        <v>14</v>
      </c>
      <c r="L390" s="10">
        <f>IFERROR(VLOOKUP(C390,Parâmetros!$A$5:$D$7,IF(D390="Mensal",2,IF(D390="Trimestral",3,4)),0),0)</f>
        <v>27</v>
      </c>
      <c r="M390" s="10">
        <f>IF(G390="Sim",VLOOKUP("EA Play",Parâmetros!$A$11:$B$13,2,0),0)*K390</f>
        <v>0</v>
      </c>
      <c r="N390" s="10">
        <f>IF(H390="Sim",VLOOKUP("Minecraft Pass",Parâmetros!$A$11:$B$13,2,0),0)*K390</f>
        <v>0</v>
      </c>
      <c r="O390" s="10">
        <f>IF(I390="Sim",VLOOKUP("Call of Duty Pass",Parâmetros!$A$11:$B$13,2,0),0)*K390</f>
        <v>97.86</v>
      </c>
      <c r="P390" s="10">
        <f>(L390*K390+M390+N390+O390)*IF(F390="Promoção",1-Parâmetros!$B$22,1)</f>
        <v>475.86</v>
      </c>
      <c r="Q390" s="10">
        <f>Parâmetros!$B$20*K390</f>
        <v>168</v>
      </c>
      <c r="R390" s="10">
        <f>P390-Q390</f>
        <v>307.86</v>
      </c>
    </row>
    <row r="391" spans="1:18">
      <c r="A391">
        <v>390</v>
      </c>
      <c r="B391" s="8">
        <v>45993</v>
      </c>
      <c r="C391" t="s">
        <v>7</v>
      </c>
      <c r="D391" t="s">
        <v>46</v>
      </c>
      <c r="E391" t="s">
        <v>47</v>
      </c>
      <c r="F391" t="s">
        <v>52</v>
      </c>
      <c r="G391" t="s">
        <v>44</v>
      </c>
      <c r="H391" t="s">
        <v>44</v>
      </c>
      <c r="I391" t="s">
        <v>44</v>
      </c>
      <c r="J391" t="s">
        <v>45</v>
      </c>
      <c r="K391" s="9">
        <v>10</v>
      </c>
      <c r="L391" s="10">
        <f>IFERROR(VLOOKUP(C391,Parâmetros!$A$5:$D$7,IF(D391="Mensal",2,IF(D391="Trimestral",3,4)),0),0)</f>
        <v>14.99</v>
      </c>
      <c r="M391" s="10">
        <f>IF(G391="Sim",VLOOKUP("EA Play",Parâmetros!$A$11:$B$13,2,0),0)*K391</f>
        <v>0</v>
      </c>
      <c r="N391" s="10">
        <f>IF(H391="Sim",VLOOKUP("Minecraft Pass",Parâmetros!$A$11:$B$13,2,0),0)*K391</f>
        <v>0</v>
      </c>
      <c r="O391" s="10">
        <f>IF(I391="Sim",VLOOKUP("Call of Duty Pass",Parâmetros!$A$11:$B$13,2,0),0)*K391</f>
        <v>0</v>
      </c>
      <c r="P391" s="10">
        <f>(L391*K391+M391+N391+O391)*IF(F391="Promoção",1-Parâmetros!$B$22,1)</f>
        <v>149.9</v>
      </c>
      <c r="Q391" s="10">
        <f>Parâmetros!$B$20*K391</f>
        <v>120</v>
      </c>
      <c r="R391" s="10">
        <f>P391-Q391</f>
        <v>29.900000000000006</v>
      </c>
    </row>
    <row r="392" spans="1:18">
      <c r="A392">
        <v>391</v>
      </c>
      <c r="B392" s="8">
        <v>45316</v>
      </c>
      <c r="C392" t="s">
        <v>7</v>
      </c>
      <c r="D392" t="s">
        <v>46</v>
      </c>
      <c r="E392" t="s">
        <v>41</v>
      </c>
      <c r="F392" t="s">
        <v>42</v>
      </c>
      <c r="G392" t="s">
        <v>44</v>
      </c>
      <c r="H392" t="s">
        <v>44</v>
      </c>
      <c r="I392" t="s">
        <v>44</v>
      </c>
      <c r="J392" t="s">
        <v>49</v>
      </c>
      <c r="K392" s="9">
        <v>17</v>
      </c>
      <c r="L392" s="10">
        <f>IFERROR(VLOOKUP(C392,Parâmetros!$A$5:$D$7,IF(D392="Mensal",2,IF(D392="Trimestral",3,4)),0),0)</f>
        <v>14.99</v>
      </c>
      <c r="M392" s="10">
        <f>IF(G392="Sim",VLOOKUP("EA Play",Parâmetros!$A$11:$B$13,2,0),0)*K392</f>
        <v>0</v>
      </c>
      <c r="N392" s="10">
        <f>IF(H392="Sim",VLOOKUP("Minecraft Pass",Parâmetros!$A$11:$B$13,2,0),0)*K392</f>
        <v>0</v>
      </c>
      <c r="O392" s="10">
        <f>IF(I392="Sim",VLOOKUP("Call of Duty Pass",Parâmetros!$A$11:$B$13,2,0),0)*K392</f>
        <v>0</v>
      </c>
      <c r="P392" s="10">
        <f>(L392*K392+M392+N392+O392)*IF(F392="Promoção",1-Parâmetros!$B$22,1)</f>
        <v>254.83</v>
      </c>
      <c r="Q392" s="10">
        <f>Parâmetros!$B$20*K392</f>
        <v>204</v>
      </c>
      <c r="R392" s="10">
        <f>P392-Q392</f>
        <v>50.830000000000013</v>
      </c>
    </row>
    <row r="393" spans="1:18">
      <c r="A393">
        <v>392</v>
      </c>
      <c r="B393" s="8">
        <v>45709</v>
      </c>
      <c r="C393" t="s">
        <v>6</v>
      </c>
      <c r="D393" t="s">
        <v>40</v>
      </c>
      <c r="E393" t="s">
        <v>47</v>
      </c>
      <c r="F393" t="s">
        <v>42</v>
      </c>
      <c r="G393" t="s">
        <v>44</v>
      </c>
      <c r="H393" t="s">
        <v>44</v>
      </c>
      <c r="I393" t="s">
        <v>44</v>
      </c>
      <c r="J393" t="s">
        <v>45</v>
      </c>
      <c r="K393" s="9">
        <v>3</v>
      </c>
      <c r="L393" s="10">
        <f>IFERROR(VLOOKUP(C393,Parâmetros!$A$5:$D$7,IF(D393="Mensal",2,IF(D393="Trimestral",3,4)),0),0)</f>
        <v>27</v>
      </c>
      <c r="M393" s="10">
        <f>IF(G393="Sim",VLOOKUP("EA Play",Parâmetros!$A$11:$B$13,2,0),0)*K393</f>
        <v>0</v>
      </c>
      <c r="N393" s="10">
        <f>IF(H393="Sim",VLOOKUP("Minecraft Pass",Parâmetros!$A$11:$B$13,2,0),0)*K393</f>
        <v>0</v>
      </c>
      <c r="O393" s="10">
        <f>IF(I393="Sim",VLOOKUP("Call of Duty Pass",Parâmetros!$A$11:$B$13,2,0),0)*K393</f>
        <v>0</v>
      </c>
      <c r="P393" s="10">
        <f>(L393*K393+M393+N393+O393)*IF(F393="Promoção",1-Parâmetros!$B$22,1)</f>
        <v>81</v>
      </c>
      <c r="Q393" s="10">
        <f>Parâmetros!$B$20*K393</f>
        <v>36</v>
      </c>
      <c r="R393" s="10">
        <f>P393-Q393</f>
        <v>45</v>
      </c>
    </row>
    <row r="394" spans="1:18">
      <c r="A394">
        <v>393</v>
      </c>
      <c r="B394" s="8">
        <v>46009</v>
      </c>
      <c r="C394" t="s">
        <v>8</v>
      </c>
      <c r="D394" t="s">
        <v>46</v>
      </c>
      <c r="E394" t="s">
        <v>47</v>
      </c>
      <c r="F394" t="s">
        <v>42</v>
      </c>
      <c r="G394" t="s">
        <v>44</v>
      </c>
      <c r="H394" t="s">
        <v>44</v>
      </c>
      <c r="I394" t="s">
        <v>43</v>
      </c>
      <c r="J394" t="s">
        <v>45</v>
      </c>
      <c r="K394" s="9">
        <v>25</v>
      </c>
      <c r="L394" s="10">
        <f>IFERROR(VLOOKUP(C394,Parâmetros!$A$5:$D$7,IF(D394="Mensal",2,IF(D394="Trimestral",3,4)),0),0)</f>
        <v>21.99</v>
      </c>
      <c r="M394" s="10">
        <f>IF(G394="Sim",VLOOKUP("EA Play",Parâmetros!$A$11:$B$13,2,0),0)*K394</f>
        <v>0</v>
      </c>
      <c r="N394" s="10">
        <f>IF(H394="Sim",VLOOKUP("Minecraft Pass",Parâmetros!$A$11:$B$13,2,0),0)*K394</f>
        <v>0</v>
      </c>
      <c r="O394" s="10">
        <f>IF(I394="Sim",VLOOKUP("Call of Duty Pass",Parâmetros!$A$11:$B$13,2,0),0)*K394</f>
        <v>174.75</v>
      </c>
      <c r="P394" s="10">
        <f>(L394*K394+M394+N394+O394)*IF(F394="Promoção",1-Parâmetros!$B$22,1)</f>
        <v>724.5</v>
      </c>
      <c r="Q394" s="10">
        <f>Parâmetros!$B$20*K394</f>
        <v>300</v>
      </c>
      <c r="R394" s="10">
        <f>P394-Q394</f>
        <v>424.5</v>
      </c>
    </row>
    <row r="395" spans="1:18">
      <c r="A395">
        <v>394</v>
      </c>
      <c r="B395" s="8">
        <v>45696</v>
      </c>
      <c r="C395" t="s">
        <v>8</v>
      </c>
      <c r="D395" t="s">
        <v>46</v>
      </c>
      <c r="E395" t="s">
        <v>41</v>
      </c>
      <c r="F395" t="s">
        <v>42</v>
      </c>
      <c r="G395" t="s">
        <v>44</v>
      </c>
      <c r="H395" t="s">
        <v>44</v>
      </c>
      <c r="I395" t="s">
        <v>44</v>
      </c>
      <c r="J395" t="s">
        <v>49</v>
      </c>
      <c r="K395" s="9">
        <v>10</v>
      </c>
      <c r="L395" s="10">
        <f>IFERROR(VLOOKUP(C395,Parâmetros!$A$5:$D$7,IF(D395="Mensal",2,IF(D395="Trimestral",3,4)),0),0)</f>
        <v>21.99</v>
      </c>
      <c r="M395" s="10">
        <f>IF(G395="Sim",VLOOKUP("EA Play",Parâmetros!$A$11:$B$13,2,0),0)*K395</f>
        <v>0</v>
      </c>
      <c r="N395" s="10">
        <f>IF(H395="Sim",VLOOKUP("Minecraft Pass",Parâmetros!$A$11:$B$13,2,0),0)*K395</f>
        <v>0</v>
      </c>
      <c r="O395" s="10">
        <f>IF(I395="Sim",VLOOKUP("Call of Duty Pass",Parâmetros!$A$11:$B$13,2,0),0)*K395</f>
        <v>0</v>
      </c>
      <c r="P395" s="10">
        <f>(L395*K395+M395+N395+O395)*IF(F395="Promoção",1-Parâmetros!$B$22,1)</f>
        <v>219.89999999999998</v>
      </c>
      <c r="Q395" s="10">
        <f>Parâmetros!$B$20*K395</f>
        <v>120</v>
      </c>
      <c r="R395" s="10">
        <f>P395-Q395</f>
        <v>99.899999999999977</v>
      </c>
    </row>
    <row r="396" spans="1:18">
      <c r="A396">
        <v>395</v>
      </c>
      <c r="B396" s="8">
        <v>45597</v>
      </c>
      <c r="C396" t="s">
        <v>7</v>
      </c>
      <c r="D396" t="s">
        <v>50</v>
      </c>
      <c r="E396" t="s">
        <v>51</v>
      </c>
      <c r="F396" t="s">
        <v>52</v>
      </c>
      <c r="G396" t="s">
        <v>43</v>
      </c>
      <c r="H396" t="s">
        <v>44</v>
      </c>
      <c r="I396" t="s">
        <v>44</v>
      </c>
      <c r="J396" t="s">
        <v>45</v>
      </c>
      <c r="K396" s="9">
        <v>8</v>
      </c>
      <c r="L396" s="10">
        <f>IFERROR(VLOOKUP(C396,Parâmetros!$A$5:$D$7,IF(D396="Mensal",2,IF(D396="Trimestral",3,4)),0),0)</f>
        <v>149</v>
      </c>
      <c r="M396" s="10">
        <f>IF(G396="Sim",VLOOKUP("EA Play",Parâmetros!$A$11:$B$13,2,0),0)*K396</f>
        <v>39.92</v>
      </c>
      <c r="N396" s="10">
        <f>IF(H396="Sim",VLOOKUP("Minecraft Pass",Parâmetros!$A$11:$B$13,2,0),0)*K396</f>
        <v>0</v>
      </c>
      <c r="O396" s="10">
        <f>IF(I396="Sim",VLOOKUP("Call of Duty Pass",Parâmetros!$A$11:$B$13,2,0),0)*K396</f>
        <v>0</v>
      </c>
      <c r="P396" s="10">
        <f>(L396*K396+M396+N396+O396)*IF(F396="Promoção",1-Parâmetros!$B$22,1)</f>
        <v>1231.92</v>
      </c>
      <c r="Q396" s="10">
        <f>Parâmetros!$B$20*K396</f>
        <v>96</v>
      </c>
      <c r="R396" s="10">
        <f>P396-Q396</f>
        <v>1135.92</v>
      </c>
    </row>
    <row r="397" spans="1:18">
      <c r="A397">
        <v>396</v>
      </c>
      <c r="B397" s="8">
        <v>45334</v>
      </c>
      <c r="C397" t="s">
        <v>6</v>
      </c>
      <c r="D397" t="s">
        <v>40</v>
      </c>
      <c r="E397" t="s">
        <v>47</v>
      </c>
      <c r="F397" t="s">
        <v>54</v>
      </c>
      <c r="G397" t="s">
        <v>43</v>
      </c>
      <c r="H397" t="s">
        <v>44</v>
      </c>
      <c r="I397" t="s">
        <v>44</v>
      </c>
      <c r="J397" t="s">
        <v>49</v>
      </c>
      <c r="K397" s="9">
        <v>27</v>
      </c>
      <c r="L397" s="10">
        <f>IFERROR(VLOOKUP(C397,Parâmetros!$A$5:$D$7,IF(D397="Mensal",2,IF(D397="Trimestral",3,4)),0),0)</f>
        <v>27</v>
      </c>
      <c r="M397" s="10">
        <f>IF(G397="Sim",VLOOKUP("EA Play",Parâmetros!$A$11:$B$13,2,0),0)*K397</f>
        <v>134.73000000000002</v>
      </c>
      <c r="N397" s="10">
        <f>IF(H397="Sim",VLOOKUP("Minecraft Pass",Parâmetros!$A$11:$B$13,2,0),0)*K397</f>
        <v>0</v>
      </c>
      <c r="O397" s="10">
        <f>IF(I397="Sim",VLOOKUP("Call of Duty Pass",Parâmetros!$A$11:$B$13,2,0),0)*K397</f>
        <v>0</v>
      </c>
      <c r="P397" s="10">
        <f>(L397*K397+M397+N397+O397)*IF(F397="Promoção",1-Parâmetros!$B$22,1)</f>
        <v>777.35700000000008</v>
      </c>
      <c r="Q397" s="10">
        <f>Parâmetros!$B$20*K397</f>
        <v>324</v>
      </c>
      <c r="R397" s="10">
        <f>P397-Q397</f>
        <v>453.35700000000008</v>
      </c>
    </row>
    <row r="398" spans="1:18">
      <c r="A398">
        <v>397</v>
      </c>
      <c r="B398" s="8">
        <v>45953</v>
      </c>
      <c r="C398" t="s">
        <v>8</v>
      </c>
      <c r="D398" t="s">
        <v>46</v>
      </c>
      <c r="E398" t="s">
        <v>41</v>
      </c>
      <c r="F398" t="s">
        <v>52</v>
      </c>
      <c r="G398" t="s">
        <v>43</v>
      </c>
      <c r="H398" t="s">
        <v>43</v>
      </c>
      <c r="I398" t="s">
        <v>44</v>
      </c>
      <c r="J398" t="s">
        <v>45</v>
      </c>
      <c r="K398" s="9">
        <v>4</v>
      </c>
      <c r="L398" s="10">
        <f>IFERROR(VLOOKUP(C398,Parâmetros!$A$5:$D$7,IF(D398="Mensal",2,IF(D398="Trimestral",3,4)),0),0)</f>
        <v>21.99</v>
      </c>
      <c r="M398" s="10">
        <f>IF(G398="Sim",VLOOKUP("EA Play",Parâmetros!$A$11:$B$13,2,0),0)*K398</f>
        <v>19.96</v>
      </c>
      <c r="N398" s="10">
        <f>IF(H398="Sim",VLOOKUP("Minecraft Pass",Parâmetros!$A$11:$B$13,2,0),0)*K398</f>
        <v>15.96</v>
      </c>
      <c r="O398" s="10">
        <f>IF(I398="Sim",VLOOKUP("Call of Duty Pass",Parâmetros!$A$11:$B$13,2,0),0)*K398</f>
        <v>0</v>
      </c>
      <c r="P398" s="10">
        <f>(L398*K398+M398+N398+O398)*IF(F398="Promoção",1-Parâmetros!$B$22,1)</f>
        <v>123.88</v>
      </c>
      <c r="Q398" s="10">
        <f>Parâmetros!$B$20*K398</f>
        <v>48</v>
      </c>
      <c r="R398" s="10">
        <f>P398-Q398</f>
        <v>75.88</v>
      </c>
    </row>
    <row r="399" spans="1:18">
      <c r="A399">
        <v>398</v>
      </c>
      <c r="B399" s="8">
        <v>45854</v>
      </c>
      <c r="C399" t="s">
        <v>7</v>
      </c>
      <c r="D399" t="s">
        <v>40</v>
      </c>
      <c r="E399" t="s">
        <v>41</v>
      </c>
      <c r="F399" t="s">
        <v>42</v>
      </c>
      <c r="G399" t="s">
        <v>43</v>
      </c>
      <c r="H399" t="s">
        <v>44</v>
      </c>
      <c r="I399" t="s">
        <v>44</v>
      </c>
      <c r="J399" t="s">
        <v>49</v>
      </c>
      <c r="K399" s="9">
        <v>9</v>
      </c>
      <c r="L399" s="10">
        <f>IFERROR(VLOOKUP(C399,Parâmetros!$A$5:$D$7,IF(D399="Mensal",2,IF(D399="Trimestral",3,4)),0),0)</f>
        <v>40</v>
      </c>
      <c r="M399" s="10">
        <f>IF(G399="Sim",VLOOKUP("EA Play",Parâmetros!$A$11:$B$13,2,0),0)*K399</f>
        <v>44.910000000000004</v>
      </c>
      <c r="N399" s="10">
        <f>IF(H399="Sim",VLOOKUP("Minecraft Pass",Parâmetros!$A$11:$B$13,2,0),0)*K399</f>
        <v>0</v>
      </c>
      <c r="O399" s="10">
        <f>IF(I399="Sim",VLOOKUP("Call of Duty Pass",Parâmetros!$A$11:$B$13,2,0),0)*K399</f>
        <v>0</v>
      </c>
      <c r="P399" s="10">
        <f>(L399*K399+M399+N399+O399)*IF(F399="Promoção",1-Parâmetros!$B$22,1)</f>
        <v>404.91</v>
      </c>
      <c r="Q399" s="10">
        <f>Parâmetros!$B$20*K399</f>
        <v>108</v>
      </c>
      <c r="R399" s="10">
        <f>P399-Q399</f>
        <v>296.91000000000003</v>
      </c>
    </row>
    <row r="400" spans="1:18">
      <c r="A400">
        <v>399</v>
      </c>
      <c r="B400" s="8">
        <v>45979</v>
      </c>
      <c r="C400" t="s">
        <v>7</v>
      </c>
      <c r="D400" t="s">
        <v>46</v>
      </c>
      <c r="E400" t="s">
        <v>47</v>
      </c>
      <c r="F400" t="s">
        <v>54</v>
      </c>
      <c r="G400" t="s">
        <v>43</v>
      </c>
      <c r="H400" t="s">
        <v>44</v>
      </c>
      <c r="I400" t="s">
        <v>44</v>
      </c>
      <c r="J400" t="s">
        <v>49</v>
      </c>
      <c r="K400" s="9">
        <v>10</v>
      </c>
      <c r="L400" s="10">
        <f>IFERROR(VLOOKUP(C400,Parâmetros!$A$5:$D$7,IF(D400="Mensal",2,IF(D400="Trimestral",3,4)),0),0)</f>
        <v>14.99</v>
      </c>
      <c r="M400" s="10">
        <f>IF(G400="Sim",VLOOKUP("EA Play",Parâmetros!$A$11:$B$13,2,0),0)*K400</f>
        <v>49.900000000000006</v>
      </c>
      <c r="N400" s="10">
        <f>IF(H400="Sim",VLOOKUP("Minecraft Pass",Parâmetros!$A$11:$B$13,2,0),0)*K400</f>
        <v>0</v>
      </c>
      <c r="O400" s="10">
        <f>IF(I400="Sim",VLOOKUP("Call of Duty Pass",Parâmetros!$A$11:$B$13,2,0),0)*K400</f>
        <v>0</v>
      </c>
      <c r="P400" s="10">
        <f>(L400*K400+M400+N400+O400)*IF(F400="Promoção",1-Parâmetros!$B$22,1)</f>
        <v>179.82000000000002</v>
      </c>
      <c r="Q400" s="10">
        <f>Parâmetros!$B$20*K400</f>
        <v>120</v>
      </c>
      <c r="R400" s="10">
        <f>P400-Q400</f>
        <v>59.820000000000022</v>
      </c>
    </row>
    <row r="401" spans="1:18">
      <c r="A401">
        <v>400</v>
      </c>
      <c r="B401" s="8">
        <v>45871</v>
      </c>
      <c r="C401" t="s">
        <v>7</v>
      </c>
      <c r="D401" t="s">
        <v>50</v>
      </c>
      <c r="E401" t="s">
        <v>53</v>
      </c>
      <c r="F401" t="s">
        <v>42</v>
      </c>
      <c r="G401" t="s">
        <v>43</v>
      </c>
      <c r="H401" t="s">
        <v>44</v>
      </c>
      <c r="I401" t="s">
        <v>44</v>
      </c>
      <c r="J401" t="s">
        <v>45</v>
      </c>
      <c r="K401" s="9">
        <v>18</v>
      </c>
      <c r="L401" s="10">
        <f>IFERROR(VLOOKUP(C401,Parâmetros!$A$5:$D$7,IF(D401="Mensal",2,IF(D401="Trimestral",3,4)),0),0)</f>
        <v>149</v>
      </c>
      <c r="M401" s="10">
        <f>IF(G401="Sim",VLOOKUP("EA Play",Parâmetros!$A$11:$B$13,2,0),0)*K401</f>
        <v>89.820000000000007</v>
      </c>
      <c r="N401" s="10">
        <f>IF(H401="Sim",VLOOKUP("Minecraft Pass",Parâmetros!$A$11:$B$13,2,0),0)*K401</f>
        <v>0</v>
      </c>
      <c r="O401" s="10">
        <f>IF(I401="Sim",VLOOKUP("Call of Duty Pass",Parâmetros!$A$11:$B$13,2,0),0)*K401</f>
        <v>0</v>
      </c>
      <c r="P401" s="10">
        <f>(L401*K401+M401+N401+O401)*IF(F401="Promoção",1-Parâmetros!$B$22,1)</f>
        <v>2771.82</v>
      </c>
      <c r="Q401" s="10">
        <f>Parâmetros!$B$20*K401</f>
        <v>216</v>
      </c>
      <c r="R401" s="10">
        <f>P401-Q401</f>
        <v>2555.8200000000002</v>
      </c>
    </row>
    <row r="402" spans="1:18">
      <c r="A402">
        <v>401</v>
      </c>
      <c r="B402" s="8">
        <v>45660</v>
      </c>
      <c r="C402" t="s">
        <v>6</v>
      </c>
      <c r="D402" t="s">
        <v>40</v>
      </c>
      <c r="E402" t="s">
        <v>55</v>
      </c>
      <c r="F402" t="s">
        <v>48</v>
      </c>
      <c r="G402" t="s">
        <v>43</v>
      </c>
      <c r="H402" t="s">
        <v>43</v>
      </c>
      <c r="I402" t="s">
        <v>44</v>
      </c>
      <c r="J402" t="s">
        <v>49</v>
      </c>
      <c r="K402" s="9">
        <v>6</v>
      </c>
      <c r="L402" s="10">
        <f>IFERROR(VLOOKUP(C402,Parâmetros!$A$5:$D$7,IF(D402="Mensal",2,IF(D402="Trimestral",3,4)),0),0)</f>
        <v>27</v>
      </c>
      <c r="M402" s="10">
        <f>IF(G402="Sim",VLOOKUP("EA Play",Parâmetros!$A$11:$B$13,2,0),0)*K402</f>
        <v>29.94</v>
      </c>
      <c r="N402" s="10">
        <f>IF(H402="Sim",VLOOKUP("Minecraft Pass",Parâmetros!$A$11:$B$13,2,0),0)*K402</f>
        <v>23.94</v>
      </c>
      <c r="O402" s="10">
        <f>IF(I402="Sim",VLOOKUP("Call of Duty Pass",Parâmetros!$A$11:$B$13,2,0),0)*K402</f>
        <v>0</v>
      </c>
      <c r="P402" s="10">
        <f>(L402*K402+M402+N402+O402)*IF(F402="Promoção",1-Parâmetros!$B$22,1)</f>
        <v>215.88</v>
      </c>
      <c r="Q402" s="10">
        <f>Parâmetros!$B$20*K402</f>
        <v>72</v>
      </c>
      <c r="R402" s="10">
        <f>P402-Q402</f>
        <v>143.88</v>
      </c>
    </row>
    <row r="403" spans="1:18">
      <c r="A403">
        <v>402</v>
      </c>
      <c r="B403" s="8">
        <v>45579</v>
      </c>
      <c r="C403" t="s">
        <v>8</v>
      </c>
      <c r="D403" t="s">
        <v>46</v>
      </c>
      <c r="E403" t="s">
        <v>47</v>
      </c>
      <c r="F403" t="s">
        <v>42</v>
      </c>
      <c r="G403" t="s">
        <v>44</v>
      </c>
      <c r="H403" t="s">
        <v>43</v>
      </c>
      <c r="I403" t="s">
        <v>43</v>
      </c>
      <c r="J403" t="s">
        <v>49</v>
      </c>
      <c r="K403" s="9">
        <v>33</v>
      </c>
      <c r="L403" s="10">
        <f>IFERROR(VLOOKUP(C403,Parâmetros!$A$5:$D$7,IF(D403="Mensal",2,IF(D403="Trimestral",3,4)),0),0)</f>
        <v>21.99</v>
      </c>
      <c r="M403" s="10">
        <f>IF(G403="Sim",VLOOKUP("EA Play",Parâmetros!$A$11:$B$13,2,0),0)*K403</f>
        <v>0</v>
      </c>
      <c r="N403" s="10">
        <f>IF(H403="Sim",VLOOKUP("Minecraft Pass",Parâmetros!$A$11:$B$13,2,0),0)*K403</f>
        <v>131.67000000000002</v>
      </c>
      <c r="O403" s="10">
        <f>IF(I403="Sim",VLOOKUP("Call of Duty Pass",Parâmetros!$A$11:$B$13,2,0),0)*K403</f>
        <v>230.67000000000002</v>
      </c>
      <c r="P403" s="10">
        <f>(L403*K403+M403+N403+O403)*IF(F403="Promoção",1-Parâmetros!$B$22,1)</f>
        <v>1088.01</v>
      </c>
      <c r="Q403" s="10">
        <f>Parâmetros!$B$20*K403</f>
        <v>396</v>
      </c>
      <c r="R403" s="10">
        <f>P403-Q403</f>
        <v>692.01</v>
      </c>
    </row>
    <row r="404" spans="1:18">
      <c r="A404">
        <v>403</v>
      </c>
      <c r="B404" s="8">
        <v>45938</v>
      </c>
      <c r="C404" t="s">
        <v>6</v>
      </c>
      <c r="D404" t="s">
        <v>40</v>
      </c>
      <c r="E404" t="s">
        <v>41</v>
      </c>
      <c r="F404" t="s">
        <v>48</v>
      </c>
      <c r="G404" t="s">
        <v>44</v>
      </c>
      <c r="H404" t="s">
        <v>44</v>
      </c>
      <c r="I404" t="s">
        <v>44</v>
      </c>
      <c r="J404" t="s">
        <v>45</v>
      </c>
      <c r="K404" s="9">
        <v>31</v>
      </c>
      <c r="L404" s="10">
        <f>IFERROR(VLOOKUP(C404,Parâmetros!$A$5:$D$7,IF(D404="Mensal",2,IF(D404="Trimestral",3,4)),0),0)</f>
        <v>27</v>
      </c>
      <c r="M404" s="10">
        <f>IF(G404="Sim",VLOOKUP("EA Play",Parâmetros!$A$11:$B$13,2,0),0)*K404</f>
        <v>0</v>
      </c>
      <c r="N404" s="10">
        <f>IF(H404="Sim",VLOOKUP("Minecraft Pass",Parâmetros!$A$11:$B$13,2,0),0)*K404</f>
        <v>0</v>
      </c>
      <c r="O404" s="10">
        <f>IF(I404="Sim",VLOOKUP("Call of Duty Pass",Parâmetros!$A$11:$B$13,2,0),0)*K404</f>
        <v>0</v>
      </c>
      <c r="P404" s="10">
        <f>(L404*K404+M404+N404+O404)*IF(F404="Promoção",1-Parâmetros!$B$22,1)</f>
        <v>837</v>
      </c>
      <c r="Q404" s="10">
        <f>Parâmetros!$B$20*K404</f>
        <v>372</v>
      </c>
      <c r="R404" s="10">
        <f>P404-Q404</f>
        <v>465</v>
      </c>
    </row>
    <row r="405" spans="1:18">
      <c r="A405">
        <v>404</v>
      </c>
      <c r="B405" s="8">
        <v>45961</v>
      </c>
      <c r="C405" t="s">
        <v>8</v>
      </c>
      <c r="D405" t="s">
        <v>46</v>
      </c>
      <c r="E405" t="s">
        <v>41</v>
      </c>
      <c r="F405" t="s">
        <v>52</v>
      </c>
      <c r="G405" t="s">
        <v>44</v>
      </c>
      <c r="H405" t="s">
        <v>43</v>
      </c>
      <c r="I405" t="s">
        <v>44</v>
      </c>
      <c r="J405" t="s">
        <v>49</v>
      </c>
      <c r="K405" s="9">
        <v>26</v>
      </c>
      <c r="L405" s="10">
        <f>IFERROR(VLOOKUP(C405,Parâmetros!$A$5:$D$7,IF(D405="Mensal",2,IF(D405="Trimestral",3,4)),0),0)</f>
        <v>21.99</v>
      </c>
      <c r="M405" s="10">
        <f>IF(G405="Sim",VLOOKUP("EA Play",Parâmetros!$A$11:$B$13,2,0),0)*K405</f>
        <v>0</v>
      </c>
      <c r="N405" s="10">
        <f>IF(H405="Sim",VLOOKUP("Minecraft Pass",Parâmetros!$A$11:$B$13,2,0),0)*K405</f>
        <v>103.74000000000001</v>
      </c>
      <c r="O405" s="10">
        <f>IF(I405="Sim",VLOOKUP("Call of Duty Pass",Parâmetros!$A$11:$B$13,2,0),0)*K405</f>
        <v>0</v>
      </c>
      <c r="P405" s="10">
        <f>(L405*K405+M405+N405+O405)*IF(F405="Promoção",1-Parâmetros!$B$22,1)</f>
        <v>675.48</v>
      </c>
      <c r="Q405" s="10">
        <f>Parâmetros!$B$20*K405</f>
        <v>312</v>
      </c>
      <c r="R405" s="10">
        <f>P405-Q405</f>
        <v>363.48</v>
      </c>
    </row>
    <row r="406" spans="1:18">
      <c r="A406">
        <v>405</v>
      </c>
      <c r="B406" s="8">
        <v>45664</v>
      </c>
      <c r="C406" t="s">
        <v>7</v>
      </c>
      <c r="D406" t="s">
        <v>40</v>
      </c>
      <c r="E406" t="s">
        <v>55</v>
      </c>
      <c r="F406" t="s">
        <v>54</v>
      </c>
      <c r="G406" t="s">
        <v>44</v>
      </c>
      <c r="H406" t="s">
        <v>43</v>
      </c>
      <c r="I406" t="s">
        <v>44</v>
      </c>
      <c r="J406" t="s">
        <v>49</v>
      </c>
      <c r="K406" s="9">
        <v>12</v>
      </c>
      <c r="L406" s="10">
        <f>IFERROR(VLOOKUP(C406,Parâmetros!$A$5:$D$7,IF(D406="Mensal",2,IF(D406="Trimestral",3,4)),0),0)</f>
        <v>40</v>
      </c>
      <c r="M406" s="10">
        <f>IF(G406="Sim",VLOOKUP("EA Play",Parâmetros!$A$11:$B$13,2,0),0)*K406</f>
        <v>0</v>
      </c>
      <c r="N406" s="10">
        <f>IF(H406="Sim",VLOOKUP("Minecraft Pass",Parâmetros!$A$11:$B$13,2,0),0)*K406</f>
        <v>47.88</v>
      </c>
      <c r="O406" s="10">
        <f>IF(I406="Sim",VLOOKUP("Call of Duty Pass",Parâmetros!$A$11:$B$13,2,0),0)*K406</f>
        <v>0</v>
      </c>
      <c r="P406" s="10">
        <f>(L406*K406+M406+N406+O406)*IF(F406="Promoção",1-Parâmetros!$B$22,1)</f>
        <v>475.09199999999998</v>
      </c>
      <c r="Q406" s="10">
        <f>Parâmetros!$B$20*K406</f>
        <v>144</v>
      </c>
      <c r="R406" s="10">
        <f>P406-Q406</f>
        <v>331.09199999999998</v>
      </c>
    </row>
    <row r="407" spans="1:18">
      <c r="A407">
        <v>406</v>
      </c>
      <c r="B407" s="8">
        <v>45871</v>
      </c>
      <c r="C407" t="s">
        <v>8</v>
      </c>
      <c r="D407" t="s">
        <v>40</v>
      </c>
      <c r="E407" t="s">
        <v>53</v>
      </c>
      <c r="F407" t="s">
        <v>52</v>
      </c>
      <c r="G407" t="s">
        <v>44</v>
      </c>
      <c r="H407" t="s">
        <v>43</v>
      </c>
      <c r="I407" t="s">
        <v>43</v>
      </c>
      <c r="J407" t="s">
        <v>49</v>
      </c>
      <c r="K407" s="9">
        <v>5</v>
      </c>
      <c r="L407" s="10">
        <f>IFERROR(VLOOKUP(C407,Parâmetros!$A$5:$D$7,IF(D407="Mensal",2,IF(D407="Trimestral",3,4)),0),0)</f>
        <v>59</v>
      </c>
      <c r="M407" s="10">
        <f>IF(G407="Sim",VLOOKUP("EA Play",Parâmetros!$A$11:$B$13,2,0),0)*K407</f>
        <v>0</v>
      </c>
      <c r="N407" s="10">
        <f>IF(H407="Sim",VLOOKUP("Minecraft Pass",Parâmetros!$A$11:$B$13,2,0),0)*K407</f>
        <v>19.950000000000003</v>
      </c>
      <c r="O407" s="10">
        <f>IF(I407="Sim",VLOOKUP("Call of Duty Pass",Parâmetros!$A$11:$B$13,2,0),0)*K407</f>
        <v>34.950000000000003</v>
      </c>
      <c r="P407" s="10">
        <f>(L407*K407+M407+N407+O407)*IF(F407="Promoção",1-Parâmetros!$B$22,1)</f>
        <v>349.9</v>
      </c>
      <c r="Q407" s="10">
        <f>Parâmetros!$B$20*K407</f>
        <v>60</v>
      </c>
      <c r="R407" s="10">
        <f>P407-Q407</f>
        <v>289.89999999999998</v>
      </c>
    </row>
    <row r="408" spans="1:18">
      <c r="A408">
        <v>407</v>
      </c>
      <c r="B408" s="8">
        <v>45562</v>
      </c>
      <c r="C408" t="s">
        <v>6</v>
      </c>
      <c r="D408" t="s">
        <v>46</v>
      </c>
      <c r="E408" t="s">
        <v>41</v>
      </c>
      <c r="F408" t="s">
        <v>54</v>
      </c>
      <c r="G408" t="s">
        <v>43</v>
      </c>
      <c r="H408" t="s">
        <v>44</v>
      </c>
      <c r="I408" t="s">
        <v>44</v>
      </c>
      <c r="J408" t="s">
        <v>49</v>
      </c>
      <c r="K408" s="9">
        <v>21</v>
      </c>
      <c r="L408" s="10">
        <f>IFERROR(VLOOKUP(C408,Parâmetros!$A$5:$D$7,IF(D408="Mensal",2,IF(D408="Trimestral",3,4)),0),0)</f>
        <v>9.99</v>
      </c>
      <c r="M408" s="10">
        <f>IF(G408="Sim",VLOOKUP("EA Play",Parâmetros!$A$11:$B$13,2,0),0)*K408</f>
        <v>104.79</v>
      </c>
      <c r="N408" s="10">
        <f>IF(H408="Sim",VLOOKUP("Minecraft Pass",Parâmetros!$A$11:$B$13,2,0),0)*K408</f>
        <v>0</v>
      </c>
      <c r="O408" s="10">
        <f>IF(I408="Sim",VLOOKUP("Call of Duty Pass",Parâmetros!$A$11:$B$13,2,0),0)*K408</f>
        <v>0</v>
      </c>
      <c r="P408" s="10">
        <f>(L408*K408+M408+N408+O408)*IF(F408="Promoção",1-Parâmetros!$B$22,1)</f>
        <v>283.12200000000001</v>
      </c>
      <c r="Q408" s="10">
        <f>Parâmetros!$B$20*K408</f>
        <v>252</v>
      </c>
      <c r="R408" s="10">
        <f>P408-Q408</f>
        <v>31.122000000000014</v>
      </c>
    </row>
    <row r="409" spans="1:18">
      <c r="A409">
        <v>408</v>
      </c>
      <c r="B409" s="8">
        <v>45397</v>
      </c>
      <c r="C409" t="s">
        <v>7</v>
      </c>
      <c r="D409" t="s">
        <v>40</v>
      </c>
      <c r="E409" t="s">
        <v>51</v>
      </c>
      <c r="F409" t="s">
        <v>54</v>
      </c>
      <c r="G409" t="s">
        <v>43</v>
      </c>
      <c r="H409" t="s">
        <v>44</v>
      </c>
      <c r="I409" t="s">
        <v>43</v>
      </c>
      <c r="J409" t="s">
        <v>45</v>
      </c>
      <c r="K409" s="9">
        <v>24</v>
      </c>
      <c r="L409" s="10">
        <f>IFERROR(VLOOKUP(C409,Parâmetros!$A$5:$D$7,IF(D409="Mensal",2,IF(D409="Trimestral",3,4)),0),0)</f>
        <v>40</v>
      </c>
      <c r="M409" s="10">
        <f>IF(G409="Sim",VLOOKUP("EA Play",Parâmetros!$A$11:$B$13,2,0),0)*K409</f>
        <v>119.76</v>
      </c>
      <c r="N409" s="10">
        <f>IF(H409="Sim",VLOOKUP("Minecraft Pass",Parâmetros!$A$11:$B$13,2,0),0)*K409</f>
        <v>0</v>
      </c>
      <c r="O409" s="10">
        <f>IF(I409="Sim",VLOOKUP("Call of Duty Pass",Parâmetros!$A$11:$B$13,2,0),0)*K409</f>
        <v>167.76</v>
      </c>
      <c r="P409" s="10">
        <f>(L409*K409+M409+N409+O409)*IF(F409="Promoção",1-Parâmetros!$B$22,1)</f>
        <v>1122.768</v>
      </c>
      <c r="Q409" s="10">
        <f>Parâmetros!$B$20*K409</f>
        <v>288</v>
      </c>
      <c r="R409" s="10">
        <f>P409-Q409</f>
        <v>834.76800000000003</v>
      </c>
    </row>
    <row r="410" spans="1:18">
      <c r="A410">
        <v>409</v>
      </c>
      <c r="B410" s="8">
        <v>45893</v>
      </c>
      <c r="C410" t="s">
        <v>7</v>
      </c>
      <c r="D410" t="s">
        <v>50</v>
      </c>
      <c r="E410" t="s">
        <v>47</v>
      </c>
      <c r="F410" t="s">
        <v>42</v>
      </c>
      <c r="G410" t="s">
        <v>44</v>
      </c>
      <c r="H410" t="s">
        <v>44</v>
      </c>
      <c r="I410" t="s">
        <v>44</v>
      </c>
      <c r="J410" t="s">
        <v>45</v>
      </c>
      <c r="K410" s="9">
        <v>32</v>
      </c>
      <c r="L410" s="10">
        <f>IFERROR(VLOOKUP(C410,Parâmetros!$A$5:$D$7,IF(D410="Mensal",2,IF(D410="Trimestral",3,4)),0),0)</f>
        <v>149</v>
      </c>
      <c r="M410" s="10">
        <f>IF(G410="Sim",VLOOKUP("EA Play",Parâmetros!$A$11:$B$13,2,0),0)*K410</f>
        <v>0</v>
      </c>
      <c r="N410" s="10">
        <f>IF(H410="Sim",VLOOKUP("Minecraft Pass",Parâmetros!$A$11:$B$13,2,0),0)*K410</f>
        <v>0</v>
      </c>
      <c r="O410" s="10">
        <f>IF(I410="Sim",VLOOKUP("Call of Duty Pass",Parâmetros!$A$11:$B$13,2,0),0)*K410</f>
        <v>0</v>
      </c>
      <c r="P410" s="10">
        <f>(L410*K410+M410+N410+O410)*IF(F410="Promoção",1-Parâmetros!$B$22,1)</f>
        <v>4768</v>
      </c>
      <c r="Q410" s="10">
        <f>Parâmetros!$B$20*K410</f>
        <v>384</v>
      </c>
      <c r="R410" s="10">
        <f>P410-Q410</f>
        <v>4384</v>
      </c>
    </row>
    <row r="411" spans="1:18">
      <c r="A411">
        <v>410</v>
      </c>
      <c r="B411" s="8">
        <v>45785</v>
      </c>
      <c r="C411" t="s">
        <v>8</v>
      </c>
      <c r="D411" t="s">
        <v>46</v>
      </c>
      <c r="E411" t="s">
        <v>55</v>
      </c>
      <c r="F411" t="s">
        <v>48</v>
      </c>
      <c r="G411" t="s">
        <v>43</v>
      </c>
      <c r="H411" t="s">
        <v>44</v>
      </c>
      <c r="I411" t="s">
        <v>43</v>
      </c>
      <c r="J411" t="s">
        <v>49</v>
      </c>
      <c r="K411" s="9">
        <v>11</v>
      </c>
      <c r="L411" s="10">
        <f>IFERROR(VLOOKUP(C411,Parâmetros!$A$5:$D$7,IF(D411="Mensal",2,IF(D411="Trimestral",3,4)),0),0)</f>
        <v>21.99</v>
      </c>
      <c r="M411" s="10">
        <f>IF(G411="Sim",VLOOKUP("EA Play",Parâmetros!$A$11:$B$13,2,0),0)*K411</f>
        <v>54.89</v>
      </c>
      <c r="N411" s="10">
        <f>IF(H411="Sim",VLOOKUP("Minecraft Pass",Parâmetros!$A$11:$B$13,2,0),0)*K411</f>
        <v>0</v>
      </c>
      <c r="O411" s="10">
        <f>IF(I411="Sim",VLOOKUP("Call of Duty Pass",Parâmetros!$A$11:$B$13,2,0),0)*K411</f>
        <v>76.89</v>
      </c>
      <c r="P411" s="10">
        <f>(L411*K411+M411+N411+O411)*IF(F411="Promoção",1-Parâmetros!$B$22,1)</f>
        <v>373.66999999999996</v>
      </c>
      <c r="Q411" s="10">
        <f>Parâmetros!$B$20*K411</f>
        <v>132</v>
      </c>
      <c r="R411" s="10">
        <f>P411-Q411</f>
        <v>241.66999999999996</v>
      </c>
    </row>
    <row r="412" spans="1:18">
      <c r="A412">
        <v>411</v>
      </c>
      <c r="B412" s="8">
        <v>45662</v>
      </c>
      <c r="C412" t="s">
        <v>7</v>
      </c>
      <c r="D412" t="s">
        <v>50</v>
      </c>
      <c r="E412" t="s">
        <v>51</v>
      </c>
      <c r="F412" t="s">
        <v>48</v>
      </c>
      <c r="G412" t="s">
        <v>43</v>
      </c>
      <c r="H412" t="s">
        <v>43</v>
      </c>
      <c r="I412" t="s">
        <v>44</v>
      </c>
      <c r="J412" t="s">
        <v>49</v>
      </c>
      <c r="K412" s="9">
        <v>11</v>
      </c>
      <c r="L412" s="10">
        <f>IFERROR(VLOOKUP(C412,Parâmetros!$A$5:$D$7,IF(D412="Mensal",2,IF(D412="Trimestral",3,4)),0),0)</f>
        <v>149</v>
      </c>
      <c r="M412" s="10">
        <f>IF(G412="Sim",VLOOKUP("EA Play",Parâmetros!$A$11:$B$13,2,0),0)*K412</f>
        <v>54.89</v>
      </c>
      <c r="N412" s="10">
        <f>IF(H412="Sim",VLOOKUP("Minecraft Pass",Parâmetros!$A$11:$B$13,2,0),0)*K412</f>
        <v>43.89</v>
      </c>
      <c r="O412" s="10">
        <f>IF(I412="Sim",VLOOKUP("Call of Duty Pass",Parâmetros!$A$11:$B$13,2,0),0)*K412</f>
        <v>0</v>
      </c>
      <c r="P412" s="10">
        <f>(L412*K412+M412+N412+O412)*IF(F412="Promoção",1-Parâmetros!$B$22,1)</f>
        <v>1737.7800000000002</v>
      </c>
      <c r="Q412" s="10">
        <f>Parâmetros!$B$20*K412</f>
        <v>132</v>
      </c>
      <c r="R412" s="10">
        <f>P412-Q412</f>
        <v>1605.7800000000002</v>
      </c>
    </row>
    <row r="413" spans="1:18">
      <c r="A413">
        <v>412</v>
      </c>
      <c r="B413" s="8">
        <v>45954</v>
      </c>
      <c r="C413" t="s">
        <v>8</v>
      </c>
      <c r="D413" t="s">
        <v>46</v>
      </c>
      <c r="E413" t="s">
        <v>41</v>
      </c>
      <c r="F413" t="s">
        <v>48</v>
      </c>
      <c r="G413" t="s">
        <v>43</v>
      </c>
      <c r="H413" t="s">
        <v>44</v>
      </c>
      <c r="I413" t="s">
        <v>43</v>
      </c>
      <c r="J413" t="s">
        <v>45</v>
      </c>
      <c r="K413" s="9">
        <v>4</v>
      </c>
      <c r="L413" s="10">
        <f>IFERROR(VLOOKUP(C413,Parâmetros!$A$5:$D$7,IF(D413="Mensal",2,IF(D413="Trimestral",3,4)),0),0)</f>
        <v>21.99</v>
      </c>
      <c r="M413" s="10">
        <f>IF(G413="Sim",VLOOKUP("EA Play",Parâmetros!$A$11:$B$13,2,0),0)*K413</f>
        <v>19.96</v>
      </c>
      <c r="N413" s="10">
        <f>IF(H413="Sim",VLOOKUP("Minecraft Pass",Parâmetros!$A$11:$B$13,2,0),0)*K413</f>
        <v>0</v>
      </c>
      <c r="O413" s="10">
        <f>IF(I413="Sim",VLOOKUP("Call of Duty Pass",Parâmetros!$A$11:$B$13,2,0),0)*K413</f>
        <v>27.96</v>
      </c>
      <c r="P413" s="10">
        <f>(L413*K413+M413+N413+O413)*IF(F413="Promoção",1-Parâmetros!$B$22,1)</f>
        <v>135.88</v>
      </c>
      <c r="Q413" s="10">
        <f>Parâmetros!$B$20*K413</f>
        <v>48</v>
      </c>
      <c r="R413" s="10">
        <f>P413-Q413</f>
        <v>87.88</v>
      </c>
    </row>
    <row r="414" spans="1:18">
      <c r="A414">
        <v>413</v>
      </c>
      <c r="B414" s="8">
        <v>45462</v>
      </c>
      <c r="C414" t="s">
        <v>6</v>
      </c>
      <c r="D414" t="s">
        <v>46</v>
      </c>
      <c r="E414" t="s">
        <v>53</v>
      </c>
      <c r="F414" t="s">
        <v>48</v>
      </c>
      <c r="G414" t="s">
        <v>44</v>
      </c>
      <c r="H414" t="s">
        <v>43</v>
      </c>
      <c r="I414" t="s">
        <v>44</v>
      </c>
      <c r="J414" t="s">
        <v>45</v>
      </c>
      <c r="K414" s="9">
        <v>19</v>
      </c>
      <c r="L414" s="10">
        <f>IFERROR(VLOOKUP(C414,Parâmetros!$A$5:$D$7,IF(D414="Mensal",2,IF(D414="Trimestral",3,4)),0),0)</f>
        <v>9.99</v>
      </c>
      <c r="M414" s="10">
        <f>IF(G414="Sim",VLOOKUP("EA Play",Parâmetros!$A$11:$B$13,2,0),0)*K414</f>
        <v>0</v>
      </c>
      <c r="N414" s="10">
        <f>IF(H414="Sim",VLOOKUP("Minecraft Pass",Parâmetros!$A$11:$B$13,2,0),0)*K414</f>
        <v>75.81</v>
      </c>
      <c r="O414" s="10">
        <f>IF(I414="Sim",VLOOKUP("Call of Duty Pass",Parâmetros!$A$11:$B$13,2,0),0)*K414</f>
        <v>0</v>
      </c>
      <c r="P414" s="10">
        <f>(L414*K414+M414+N414+O414)*IF(F414="Promoção",1-Parâmetros!$B$22,1)</f>
        <v>265.62</v>
      </c>
      <c r="Q414" s="10">
        <f>Parâmetros!$B$20*K414</f>
        <v>228</v>
      </c>
      <c r="R414" s="10">
        <f>P414-Q414</f>
        <v>37.620000000000005</v>
      </c>
    </row>
    <row r="415" spans="1:18">
      <c r="A415">
        <v>414</v>
      </c>
      <c r="B415" s="8">
        <v>45379</v>
      </c>
      <c r="C415" t="s">
        <v>6</v>
      </c>
      <c r="D415" t="s">
        <v>40</v>
      </c>
      <c r="E415" t="s">
        <v>47</v>
      </c>
      <c r="F415" t="s">
        <v>48</v>
      </c>
      <c r="G415" t="s">
        <v>43</v>
      </c>
      <c r="H415" t="s">
        <v>44</v>
      </c>
      <c r="I415" t="s">
        <v>43</v>
      </c>
      <c r="J415" t="s">
        <v>45</v>
      </c>
      <c r="K415" s="9">
        <v>12</v>
      </c>
      <c r="L415" s="10">
        <f>IFERROR(VLOOKUP(C415,Parâmetros!$A$5:$D$7,IF(D415="Mensal",2,IF(D415="Trimestral",3,4)),0),0)</f>
        <v>27</v>
      </c>
      <c r="M415" s="10">
        <f>IF(G415="Sim",VLOOKUP("EA Play",Parâmetros!$A$11:$B$13,2,0),0)*K415</f>
        <v>59.88</v>
      </c>
      <c r="N415" s="10">
        <f>IF(H415="Sim",VLOOKUP("Minecraft Pass",Parâmetros!$A$11:$B$13,2,0),0)*K415</f>
        <v>0</v>
      </c>
      <c r="O415" s="10">
        <f>IF(I415="Sim",VLOOKUP("Call of Duty Pass",Parâmetros!$A$11:$B$13,2,0),0)*K415</f>
        <v>83.88</v>
      </c>
      <c r="P415" s="10">
        <f>(L415*K415+M415+N415+O415)*IF(F415="Promoção",1-Parâmetros!$B$22,1)</f>
        <v>467.76</v>
      </c>
      <c r="Q415" s="10">
        <f>Parâmetros!$B$20*K415</f>
        <v>144</v>
      </c>
      <c r="R415" s="10">
        <f>P415-Q415</f>
        <v>323.76</v>
      </c>
    </row>
    <row r="416" spans="1:18">
      <c r="A416">
        <v>415</v>
      </c>
      <c r="B416" s="8">
        <v>45930</v>
      </c>
      <c r="C416" t="s">
        <v>7</v>
      </c>
      <c r="D416" t="s">
        <v>46</v>
      </c>
      <c r="E416" t="s">
        <v>51</v>
      </c>
      <c r="F416" t="s">
        <v>42</v>
      </c>
      <c r="G416" t="s">
        <v>44</v>
      </c>
      <c r="H416" t="s">
        <v>44</v>
      </c>
      <c r="I416" t="s">
        <v>43</v>
      </c>
      <c r="J416" t="s">
        <v>49</v>
      </c>
      <c r="K416" s="9">
        <v>7</v>
      </c>
      <c r="L416" s="10">
        <f>IFERROR(VLOOKUP(C416,Parâmetros!$A$5:$D$7,IF(D416="Mensal",2,IF(D416="Trimestral",3,4)),0),0)</f>
        <v>14.99</v>
      </c>
      <c r="M416" s="10">
        <f>IF(G416="Sim",VLOOKUP("EA Play",Parâmetros!$A$11:$B$13,2,0),0)*K416</f>
        <v>0</v>
      </c>
      <c r="N416" s="10">
        <f>IF(H416="Sim",VLOOKUP("Minecraft Pass",Parâmetros!$A$11:$B$13,2,0),0)*K416</f>
        <v>0</v>
      </c>
      <c r="O416" s="10">
        <f>IF(I416="Sim",VLOOKUP("Call of Duty Pass",Parâmetros!$A$11:$B$13,2,0),0)*K416</f>
        <v>48.93</v>
      </c>
      <c r="P416" s="10">
        <f>(L416*K416+M416+N416+O416)*IF(F416="Promoção",1-Parâmetros!$B$22,1)</f>
        <v>153.86000000000001</v>
      </c>
      <c r="Q416" s="10">
        <f>Parâmetros!$B$20*K416</f>
        <v>84</v>
      </c>
      <c r="R416" s="10">
        <f>P416-Q416</f>
        <v>69.860000000000014</v>
      </c>
    </row>
    <row r="417" spans="1:18">
      <c r="A417">
        <v>416</v>
      </c>
      <c r="B417" s="8">
        <v>45308</v>
      </c>
      <c r="C417" t="s">
        <v>6</v>
      </c>
      <c r="D417" t="s">
        <v>50</v>
      </c>
      <c r="E417" t="s">
        <v>47</v>
      </c>
      <c r="F417" t="s">
        <v>48</v>
      </c>
      <c r="G417" t="s">
        <v>43</v>
      </c>
      <c r="H417" t="s">
        <v>43</v>
      </c>
      <c r="I417" t="s">
        <v>44</v>
      </c>
      <c r="J417" t="s">
        <v>45</v>
      </c>
      <c r="K417" s="9">
        <v>3</v>
      </c>
      <c r="L417" s="10">
        <f>IFERROR(VLOOKUP(C417,Parâmetros!$A$5:$D$7,IF(D417="Mensal",2,IF(D417="Trimestral",3,4)),0),0)</f>
        <v>99</v>
      </c>
      <c r="M417" s="10">
        <f>IF(G417="Sim",VLOOKUP("EA Play",Parâmetros!$A$11:$B$13,2,0),0)*K417</f>
        <v>14.97</v>
      </c>
      <c r="N417" s="10">
        <f>IF(H417="Sim",VLOOKUP("Minecraft Pass",Parâmetros!$A$11:$B$13,2,0),0)*K417</f>
        <v>11.97</v>
      </c>
      <c r="O417" s="10">
        <f>IF(I417="Sim",VLOOKUP("Call of Duty Pass",Parâmetros!$A$11:$B$13,2,0),0)*K417</f>
        <v>0</v>
      </c>
      <c r="P417" s="10">
        <f>(L417*K417+M417+N417+O417)*IF(F417="Promoção",1-Parâmetros!$B$22,1)</f>
        <v>323.94000000000005</v>
      </c>
      <c r="Q417" s="10">
        <f>Parâmetros!$B$20*K417</f>
        <v>36</v>
      </c>
      <c r="R417" s="10">
        <f>P417-Q417</f>
        <v>287.94000000000005</v>
      </c>
    </row>
    <row r="418" spans="1:18">
      <c r="A418">
        <v>417</v>
      </c>
      <c r="B418" s="8">
        <v>45836</v>
      </c>
      <c r="C418" t="s">
        <v>7</v>
      </c>
      <c r="D418" t="s">
        <v>46</v>
      </c>
      <c r="E418" t="s">
        <v>47</v>
      </c>
      <c r="F418" t="s">
        <v>42</v>
      </c>
      <c r="G418" t="s">
        <v>44</v>
      </c>
      <c r="H418" t="s">
        <v>44</v>
      </c>
      <c r="I418" t="s">
        <v>44</v>
      </c>
      <c r="J418" t="s">
        <v>45</v>
      </c>
      <c r="K418" s="9">
        <v>28</v>
      </c>
      <c r="L418" s="10">
        <f>IFERROR(VLOOKUP(C418,Parâmetros!$A$5:$D$7,IF(D418="Mensal",2,IF(D418="Trimestral",3,4)),0),0)</f>
        <v>14.99</v>
      </c>
      <c r="M418" s="10">
        <f>IF(G418="Sim",VLOOKUP("EA Play",Parâmetros!$A$11:$B$13,2,0),0)*K418</f>
        <v>0</v>
      </c>
      <c r="N418" s="10">
        <f>IF(H418="Sim",VLOOKUP("Minecraft Pass",Parâmetros!$A$11:$B$13,2,0),0)*K418</f>
        <v>0</v>
      </c>
      <c r="O418" s="10">
        <f>IF(I418="Sim",VLOOKUP("Call of Duty Pass",Parâmetros!$A$11:$B$13,2,0),0)*K418</f>
        <v>0</v>
      </c>
      <c r="P418" s="10">
        <f>(L418*K418+M418+N418+O418)*IF(F418="Promoção",1-Parâmetros!$B$22,1)</f>
        <v>419.72</v>
      </c>
      <c r="Q418" s="10">
        <f>Parâmetros!$B$20*K418</f>
        <v>336</v>
      </c>
      <c r="R418" s="10">
        <f>P418-Q418</f>
        <v>83.720000000000027</v>
      </c>
    </row>
    <row r="419" spans="1:18">
      <c r="A419">
        <v>418</v>
      </c>
      <c r="B419" s="8">
        <v>45826</v>
      </c>
      <c r="C419" t="s">
        <v>7</v>
      </c>
      <c r="D419" t="s">
        <v>50</v>
      </c>
      <c r="E419" t="s">
        <v>51</v>
      </c>
      <c r="F419" t="s">
        <v>48</v>
      </c>
      <c r="G419" t="s">
        <v>44</v>
      </c>
      <c r="H419" t="s">
        <v>44</v>
      </c>
      <c r="I419" t="s">
        <v>44</v>
      </c>
      <c r="J419" t="s">
        <v>49</v>
      </c>
      <c r="K419" s="9">
        <v>7</v>
      </c>
      <c r="L419" s="10">
        <f>IFERROR(VLOOKUP(C419,Parâmetros!$A$5:$D$7,IF(D419="Mensal",2,IF(D419="Trimestral",3,4)),0),0)</f>
        <v>149</v>
      </c>
      <c r="M419" s="10">
        <f>IF(G419="Sim",VLOOKUP("EA Play",Parâmetros!$A$11:$B$13,2,0),0)*K419</f>
        <v>0</v>
      </c>
      <c r="N419" s="10">
        <f>IF(H419="Sim",VLOOKUP("Minecraft Pass",Parâmetros!$A$11:$B$13,2,0),0)*K419</f>
        <v>0</v>
      </c>
      <c r="O419" s="10">
        <f>IF(I419="Sim",VLOOKUP("Call of Duty Pass",Parâmetros!$A$11:$B$13,2,0),0)*K419</f>
        <v>0</v>
      </c>
      <c r="P419" s="10">
        <f>(L419*K419+M419+N419+O419)*IF(F419="Promoção",1-Parâmetros!$B$22,1)</f>
        <v>1043</v>
      </c>
      <c r="Q419" s="10">
        <f>Parâmetros!$B$20*K419</f>
        <v>84</v>
      </c>
      <c r="R419" s="10">
        <f>P419-Q419</f>
        <v>959</v>
      </c>
    </row>
    <row r="420" spans="1:18">
      <c r="A420">
        <v>419</v>
      </c>
      <c r="B420" s="8">
        <v>45727</v>
      </c>
      <c r="C420" t="s">
        <v>6</v>
      </c>
      <c r="D420" t="s">
        <v>46</v>
      </c>
      <c r="E420" t="s">
        <v>41</v>
      </c>
      <c r="F420" t="s">
        <v>54</v>
      </c>
      <c r="G420" t="s">
        <v>43</v>
      </c>
      <c r="H420" t="s">
        <v>44</v>
      </c>
      <c r="I420" t="s">
        <v>44</v>
      </c>
      <c r="J420" t="s">
        <v>49</v>
      </c>
      <c r="K420" s="9">
        <v>1</v>
      </c>
      <c r="L420" s="10">
        <f>IFERROR(VLOOKUP(C420,Parâmetros!$A$5:$D$7,IF(D420="Mensal",2,IF(D420="Trimestral",3,4)),0),0)</f>
        <v>9.99</v>
      </c>
      <c r="M420" s="10">
        <f>IF(G420="Sim",VLOOKUP("EA Play",Parâmetros!$A$11:$B$13,2,0),0)*K420</f>
        <v>4.99</v>
      </c>
      <c r="N420" s="10">
        <f>IF(H420="Sim",VLOOKUP("Minecraft Pass",Parâmetros!$A$11:$B$13,2,0),0)*K420</f>
        <v>0</v>
      </c>
      <c r="O420" s="10">
        <f>IF(I420="Sim",VLOOKUP("Call of Duty Pass",Parâmetros!$A$11:$B$13,2,0),0)*K420</f>
        <v>0</v>
      </c>
      <c r="P420" s="10">
        <f>(L420*K420+M420+N420+O420)*IF(F420="Promoção",1-Parâmetros!$B$22,1)</f>
        <v>13.482000000000001</v>
      </c>
      <c r="Q420" s="10">
        <f>Parâmetros!$B$20*K420</f>
        <v>12</v>
      </c>
      <c r="R420" s="10">
        <f>P420-Q420</f>
        <v>1.4820000000000011</v>
      </c>
    </row>
    <row r="421" spans="1:18">
      <c r="A421">
        <v>420</v>
      </c>
      <c r="B421" s="8">
        <v>45883</v>
      </c>
      <c r="C421" t="s">
        <v>7</v>
      </c>
      <c r="D421" t="s">
        <v>40</v>
      </c>
      <c r="E421" t="s">
        <v>41</v>
      </c>
      <c r="F421" t="s">
        <v>42</v>
      </c>
      <c r="G421" t="s">
        <v>44</v>
      </c>
      <c r="H421" t="s">
        <v>44</v>
      </c>
      <c r="I421" t="s">
        <v>43</v>
      </c>
      <c r="J421" t="s">
        <v>49</v>
      </c>
      <c r="K421" s="9">
        <v>17</v>
      </c>
      <c r="L421" s="10">
        <f>IFERROR(VLOOKUP(C421,Parâmetros!$A$5:$D$7,IF(D421="Mensal",2,IF(D421="Trimestral",3,4)),0),0)</f>
        <v>40</v>
      </c>
      <c r="M421" s="10">
        <f>IF(G421="Sim",VLOOKUP("EA Play",Parâmetros!$A$11:$B$13,2,0),0)*K421</f>
        <v>0</v>
      </c>
      <c r="N421" s="10">
        <f>IF(H421="Sim",VLOOKUP("Minecraft Pass",Parâmetros!$A$11:$B$13,2,0),0)*K421</f>
        <v>0</v>
      </c>
      <c r="O421" s="10">
        <f>IF(I421="Sim",VLOOKUP("Call of Duty Pass",Parâmetros!$A$11:$B$13,2,0),0)*K421</f>
        <v>118.83</v>
      </c>
      <c r="P421" s="10">
        <f>(L421*K421+M421+N421+O421)*IF(F421="Promoção",1-Parâmetros!$B$22,1)</f>
        <v>798.83</v>
      </c>
      <c r="Q421" s="10">
        <f>Parâmetros!$B$20*K421</f>
        <v>204</v>
      </c>
      <c r="R421" s="10">
        <f>P421-Q421</f>
        <v>594.83000000000004</v>
      </c>
    </row>
    <row r="422" spans="1:18">
      <c r="A422">
        <v>421</v>
      </c>
      <c r="B422" s="8">
        <v>45559</v>
      </c>
      <c r="C422" t="s">
        <v>8</v>
      </c>
      <c r="D422" t="s">
        <v>46</v>
      </c>
      <c r="E422" t="s">
        <v>41</v>
      </c>
      <c r="F422" t="s">
        <v>42</v>
      </c>
      <c r="G422" t="s">
        <v>44</v>
      </c>
      <c r="H422" t="s">
        <v>44</v>
      </c>
      <c r="I422" t="s">
        <v>44</v>
      </c>
      <c r="J422" t="s">
        <v>45</v>
      </c>
      <c r="K422" s="9">
        <v>31</v>
      </c>
      <c r="L422" s="10">
        <f>IFERROR(VLOOKUP(C422,Parâmetros!$A$5:$D$7,IF(D422="Mensal",2,IF(D422="Trimestral",3,4)),0),0)</f>
        <v>21.99</v>
      </c>
      <c r="M422" s="10">
        <f>IF(G422="Sim",VLOOKUP("EA Play",Parâmetros!$A$11:$B$13,2,0),0)*K422</f>
        <v>0</v>
      </c>
      <c r="N422" s="10">
        <f>IF(H422="Sim",VLOOKUP("Minecraft Pass",Parâmetros!$A$11:$B$13,2,0),0)*K422</f>
        <v>0</v>
      </c>
      <c r="O422" s="10">
        <f>IF(I422="Sim",VLOOKUP("Call of Duty Pass",Parâmetros!$A$11:$B$13,2,0),0)*K422</f>
        <v>0</v>
      </c>
      <c r="P422" s="10">
        <f>(L422*K422+M422+N422+O422)*IF(F422="Promoção",1-Parâmetros!$B$22,1)</f>
        <v>681.68999999999994</v>
      </c>
      <c r="Q422" s="10">
        <f>Parâmetros!$B$20*K422</f>
        <v>372</v>
      </c>
      <c r="R422" s="10">
        <f>P422-Q422</f>
        <v>309.68999999999994</v>
      </c>
    </row>
    <row r="423" spans="1:18">
      <c r="A423">
        <v>422</v>
      </c>
      <c r="B423" s="8">
        <v>45475</v>
      </c>
      <c r="C423" t="s">
        <v>6</v>
      </c>
      <c r="D423" t="s">
        <v>40</v>
      </c>
      <c r="E423" t="s">
        <v>41</v>
      </c>
      <c r="F423" t="s">
        <v>42</v>
      </c>
      <c r="G423" t="s">
        <v>43</v>
      </c>
      <c r="H423" t="s">
        <v>44</v>
      </c>
      <c r="I423" t="s">
        <v>44</v>
      </c>
      <c r="J423" t="s">
        <v>45</v>
      </c>
      <c r="K423" s="9">
        <v>8</v>
      </c>
      <c r="L423" s="10">
        <f>IFERROR(VLOOKUP(C423,Parâmetros!$A$5:$D$7,IF(D423="Mensal",2,IF(D423="Trimestral",3,4)),0),0)</f>
        <v>27</v>
      </c>
      <c r="M423" s="10">
        <f>IF(G423="Sim",VLOOKUP("EA Play",Parâmetros!$A$11:$B$13,2,0),0)*K423</f>
        <v>39.92</v>
      </c>
      <c r="N423" s="10">
        <f>IF(H423="Sim",VLOOKUP("Minecraft Pass",Parâmetros!$A$11:$B$13,2,0),0)*K423</f>
        <v>0</v>
      </c>
      <c r="O423" s="10">
        <f>IF(I423="Sim",VLOOKUP("Call of Duty Pass",Parâmetros!$A$11:$B$13,2,0),0)*K423</f>
        <v>0</v>
      </c>
      <c r="P423" s="10">
        <f>(L423*K423+M423+N423+O423)*IF(F423="Promoção",1-Parâmetros!$B$22,1)</f>
        <v>255.92000000000002</v>
      </c>
      <c r="Q423" s="10">
        <f>Parâmetros!$B$20*K423</f>
        <v>96</v>
      </c>
      <c r="R423" s="10">
        <f>P423-Q423</f>
        <v>159.92000000000002</v>
      </c>
    </row>
    <row r="424" spans="1:18">
      <c r="A424">
        <v>423</v>
      </c>
      <c r="B424" s="8">
        <v>45527</v>
      </c>
      <c r="C424" t="s">
        <v>7</v>
      </c>
      <c r="D424" t="s">
        <v>40</v>
      </c>
      <c r="E424" t="s">
        <v>41</v>
      </c>
      <c r="F424" t="s">
        <v>42</v>
      </c>
      <c r="G424" t="s">
        <v>43</v>
      </c>
      <c r="H424" t="s">
        <v>43</v>
      </c>
      <c r="I424" t="s">
        <v>44</v>
      </c>
      <c r="J424" t="s">
        <v>45</v>
      </c>
      <c r="K424" s="9">
        <v>4</v>
      </c>
      <c r="L424" s="10">
        <f>IFERROR(VLOOKUP(C424,Parâmetros!$A$5:$D$7,IF(D424="Mensal",2,IF(D424="Trimestral",3,4)),0),0)</f>
        <v>40</v>
      </c>
      <c r="M424" s="10">
        <f>IF(G424="Sim",VLOOKUP("EA Play",Parâmetros!$A$11:$B$13,2,0),0)*K424</f>
        <v>19.96</v>
      </c>
      <c r="N424" s="10">
        <f>IF(H424="Sim",VLOOKUP("Minecraft Pass",Parâmetros!$A$11:$B$13,2,0),0)*K424</f>
        <v>15.96</v>
      </c>
      <c r="O424" s="10">
        <f>IF(I424="Sim",VLOOKUP("Call of Duty Pass",Parâmetros!$A$11:$B$13,2,0),0)*K424</f>
        <v>0</v>
      </c>
      <c r="P424" s="10">
        <f>(L424*K424+M424+N424+O424)*IF(F424="Promoção",1-Parâmetros!$B$22,1)</f>
        <v>195.92000000000002</v>
      </c>
      <c r="Q424" s="10">
        <f>Parâmetros!$B$20*K424</f>
        <v>48</v>
      </c>
      <c r="R424" s="10">
        <f>P424-Q424</f>
        <v>147.92000000000002</v>
      </c>
    </row>
    <row r="425" spans="1:18">
      <c r="A425">
        <v>424</v>
      </c>
      <c r="B425" s="8">
        <v>45456</v>
      </c>
      <c r="C425" t="s">
        <v>6</v>
      </c>
      <c r="D425" t="s">
        <v>40</v>
      </c>
      <c r="E425" t="s">
        <v>51</v>
      </c>
      <c r="F425" t="s">
        <v>54</v>
      </c>
      <c r="G425" t="s">
        <v>44</v>
      </c>
      <c r="H425" t="s">
        <v>44</v>
      </c>
      <c r="I425" t="s">
        <v>43</v>
      </c>
      <c r="J425" t="s">
        <v>49</v>
      </c>
      <c r="K425" s="9">
        <v>24</v>
      </c>
      <c r="L425" s="10">
        <f>IFERROR(VLOOKUP(C425,Parâmetros!$A$5:$D$7,IF(D425="Mensal",2,IF(D425="Trimestral",3,4)),0),0)</f>
        <v>27</v>
      </c>
      <c r="M425" s="10">
        <f>IF(G425="Sim",VLOOKUP("EA Play",Parâmetros!$A$11:$B$13,2,0),0)*K425</f>
        <v>0</v>
      </c>
      <c r="N425" s="10">
        <f>IF(H425="Sim",VLOOKUP("Minecraft Pass",Parâmetros!$A$11:$B$13,2,0),0)*K425</f>
        <v>0</v>
      </c>
      <c r="O425" s="10">
        <f>IF(I425="Sim",VLOOKUP("Call of Duty Pass",Parâmetros!$A$11:$B$13,2,0),0)*K425</f>
        <v>167.76</v>
      </c>
      <c r="P425" s="10">
        <f>(L425*K425+M425+N425+O425)*IF(F425="Promoção",1-Parâmetros!$B$22,1)</f>
        <v>734.18399999999997</v>
      </c>
      <c r="Q425" s="10">
        <f>Parâmetros!$B$20*K425</f>
        <v>288</v>
      </c>
      <c r="R425" s="10">
        <f>P425-Q425</f>
        <v>446.18399999999997</v>
      </c>
    </row>
    <row r="426" spans="1:18">
      <c r="A426">
        <v>425</v>
      </c>
      <c r="B426" s="8">
        <v>45373</v>
      </c>
      <c r="C426" t="s">
        <v>7</v>
      </c>
      <c r="D426" t="s">
        <v>40</v>
      </c>
      <c r="E426" t="s">
        <v>55</v>
      </c>
      <c r="F426" t="s">
        <v>48</v>
      </c>
      <c r="G426" t="s">
        <v>44</v>
      </c>
      <c r="H426" t="s">
        <v>43</v>
      </c>
      <c r="I426" t="s">
        <v>44</v>
      </c>
      <c r="J426" t="s">
        <v>49</v>
      </c>
      <c r="K426" s="9">
        <v>12</v>
      </c>
      <c r="L426" s="10">
        <f>IFERROR(VLOOKUP(C426,Parâmetros!$A$5:$D$7,IF(D426="Mensal",2,IF(D426="Trimestral",3,4)),0),0)</f>
        <v>40</v>
      </c>
      <c r="M426" s="10">
        <f>IF(G426="Sim",VLOOKUP("EA Play",Parâmetros!$A$11:$B$13,2,0),0)*K426</f>
        <v>0</v>
      </c>
      <c r="N426" s="10">
        <f>IF(H426="Sim",VLOOKUP("Minecraft Pass",Parâmetros!$A$11:$B$13,2,0),0)*K426</f>
        <v>47.88</v>
      </c>
      <c r="O426" s="10">
        <f>IF(I426="Sim",VLOOKUP("Call of Duty Pass",Parâmetros!$A$11:$B$13,2,0),0)*K426</f>
        <v>0</v>
      </c>
      <c r="P426" s="10">
        <f>(L426*K426+M426+N426+O426)*IF(F426="Promoção",1-Parâmetros!$B$22,1)</f>
        <v>527.88</v>
      </c>
      <c r="Q426" s="10">
        <f>Parâmetros!$B$20*K426</f>
        <v>144</v>
      </c>
      <c r="R426" s="10">
        <f>P426-Q426</f>
        <v>383.88</v>
      </c>
    </row>
    <row r="427" spans="1:18">
      <c r="A427">
        <v>426</v>
      </c>
      <c r="B427" s="8">
        <v>45947</v>
      </c>
      <c r="C427" t="s">
        <v>7</v>
      </c>
      <c r="D427" t="s">
        <v>46</v>
      </c>
      <c r="E427" t="s">
        <v>55</v>
      </c>
      <c r="F427" t="s">
        <v>54</v>
      </c>
      <c r="G427" t="s">
        <v>44</v>
      </c>
      <c r="H427" t="s">
        <v>43</v>
      </c>
      <c r="I427" t="s">
        <v>44</v>
      </c>
      <c r="J427" t="s">
        <v>49</v>
      </c>
      <c r="K427" s="9">
        <v>15</v>
      </c>
      <c r="L427" s="10">
        <f>IFERROR(VLOOKUP(C427,Parâmetros!$A$5:$D$7,IF(D427="Mensal",2,IF(D427="Trimestral",3,4)),0),0)</f>
        <v>14.99</v>
      </c>
      <c r="M427" s="10">
        <f>IF(G427="Sim",VLOOKUP("EA Play",Parâmetros!$A$11:$B$13,2,0),0)*K427</f>
        <v>0</v>
      </c>
      <c r="N427" s="10">
        <f>IF(H427="Sim",VLOOKUP("Minecraft Pass",Parâmetros!$A$11:$B$13,2,0),0)*K427</f>
        <v>59.85</v>
      </c>
      <c r="O427" s="10">
        <f>IF(I427="Sim",VLOOKUP("Call of Duty Pass",Parâmetros!$A$11:$B$13,2,0),0)*K427</f>
        <v>0</v>
      </c>
      <c r="P427" s="10">
        <f>(L427*K427+M427+N427+O427)*IF(F427="Promoção",1-Parâmetros!$B$22,1)</f>
        <v>256.23</v>
      </c>
      <c r="Q427" s="10">
        <f>Parâmetros!$B$20*K427</f>
        <v>180</v>
      </c>
      <c r="R427" s="10">
        <f>P427-Q427</f>
        <v>76.230000000000018</v>
      </c>
    </row>
    <row r="428" spans="1:18">
      <c r="A428">
        <v>427</v>
      </c>
      <c r="B428" s="8">
        <v>45921</v>
      </c>
      <c r="C428" t="s">
        <v>6</v>
      </c>
      <c r="D428" t="s">
        <v>46</v>
      </c>
      <c r="E428" t="s">
        <v>41</v>
      </c>
      <c r="F428" t="s">
        <v>42</v>
      </c>
      <c r="G428" t="s">
        <v>43</v>
      </c>
      <c r="H428" t="s">
        <v>44</v>
      </c>
      <c r="I428" t="s">
        <v>44</v>
      </c>
      <c r="J428" t="s">
        <v>49</v>
      </c>
      <c r="K428" s="9">
        <v>26</v>
      </c>
      <c r="L428" s="10">
        <f>IFERROR(VLOOKUP(C428,Parâmetros!$A$5:$D$7,IF(D428="Mensal",2,IF(D428="Trimestral",3,4)),0),0)</f>
        <v>9.99</v>
      </c>
      <c r="M428" s="10">
        <f>IF(G428="Sim",VLOOKUP("EA Play",Parâmetros!$A$11:$B$13,2,0),0)*K428</f>
        <v>129.74</v>
      </c>
      <c r="N428" s="10">
        <f>IF(H428="Sim",VLOOKUP("Minecraft Pass",Parâmetros!$A$11:$B$13,2,0),0)*K428</f>
        <v>0</v>
      </c>
      <c r="O428" s="10">
        <f>IF(I428="Sim",VLOOKUP("Call of Duty Pass",Parâmetros!$A$11:$B$13,2,0),0)*K428</f>
        <v>0</v>
      </c>
      <c r="P428" s="10">
        <f>(L428*K428+M428+N428+O428)*IF(F428="Promoção",1-Parâmetros!$B$22,1)</f>
        <v>389.48</v>
      </c>
      <c r="Q428" s="10">
        <f>Parâmetros!$B$20*K428</f>
        <v>312</v>
      </c>
      <c r="R428" s="10">
        <f>P428-Q428</f>
        <v>77.480000000000018</v>
      </c>
    </row>
    <row r="429" spans="1:18">
      <c r="A429">
        <v>428</v>
      </c>
      <c r="B429" s="8">
        <v>45707</v>
      </c>
      <c r="C429" t="s">
        <v>7</v>
      </c>
      <c r="D429" t="s">
        <v>40</v>
      </c>
      <c r="E429" t="s">
        <v>51</v>
      </c>
      <c r="F429" t="s">
        <v>42</v>
      </c>
      <c r="G429" t="s">
        <v>43</v>
      </c>
      <c r="H429" t="s">
        <v>43</v>
      </c>
      <c r="I429" t="s">
        <v>44</v>
      </c>
      <c r="J429" t="s">
        <v>45</v>
      </c>
      <c r="K429" s="9">
        <v>23</v>
      </c>
      <c r="L429" s="10">
        <f>IFERROR(VLOOKUP(C429,Parâmetros!$A$5:$D$7,IF(D429="Mensal",2,IF(D429="Trimestral",3,4)),0),0)</f>
        <v>40</v>
      </c>
      <c r="M429" s="10">
        <f>IF(G429="Sim",VLOOKUP("EA Play",Parâmetros!$A$11:$B$13,2,0),0)*K429</f>
        <v>114.77000000000001</v>
      </c>
      <c r="N429" s="10">
        <f>IF(H429="Sim",VLOOKUP("Minecraft Pass",Parâmetros!$A$11:$B$13,2,0),0)*K429</f>
        <v>91.77000000000001</v>
      </c>
      <c r="O429" s="10">
        <f>IF(I429="Sim",VLOOKUP("Call of Duty Pass",Parâmetros!$A$11:$B$13,2,0),0)*K429</f>
        <v>0</v>
      </c>
      <c r="P429" s="10">
        <f>(L429*K429+M429+N429+O429)*IF(F429="Promoção",1-Parâmetros!$B$22,1)</f>
        <v>1126.54</v>
      </c>
      <c r="Q429" s="10">
        <f>Parâmetros!$B$20*K429</f>
        <v>276</v>
      </c>
      <c r="R429" s="10">
        <f>P429-Q429</f>
        <v>850.54</v>
      </c>
    </row>
    <row r="430" spans="1:18">
      <c r="A430">
        <v>429</v>
      </c>
      <c r="B430" s="8">
        <v>45647</v>
      </c>
      <c r="C430" t="s">
        <v>8</v>
      </c>
      <c r="D430" t="s">
        <v>46</v>
      </c>
      <c r="E430" t="s">
        <v>47</v>
      </c>
      <c r="F430" t="s">
        <v>42</v>
      </c>
      <c r="G430" t="s">
        <v>44</v>
      </c>
      <c r="H430" t="s">
        <v>44</v>
      </c>
      <c r="I430" t="s">
        <v>43</v>
      </c>
      <c r="J430" t="s">
        <v>49</v>
      </c>
      <c r="K430" s="9">
        <v>7</v>
      </c>
      <c r="L430" s="10">
        <f>IFERROR(VLOOKUP(C430,Parâmetros!$A$5:$D$7,IF(D430="Mensal",2,IF(D430="Trimestral",3,4)),0),0)</f>
        <v>21.99</v>
      </c>
      <c r="M430" s="10">
        <f>IF(G430="Sim",VLOOKUP("EA Play",Parâmetros!$A$11:$B$13,2,0),0)*K430</f>
        <v>0</v>
      </c>
      <c r="N430" s="10">
        <f>IF(H430="Sim",VLOOKUP("Minecraft Pass",Parâmetros!$A$11:$B$13,2,0),0)*K430</f>
        <v>0</v>
      </c>
      <c r="O430" s="10">
        <f>IF(I430="Sim",VLOOKUP("Call of Duty Pass",Parâmetros!$A$11:$B$13,2,0),0)*K430</f>
        <v>48.93</v>
      </c>
      <c r="P430" s="10">
        <f>(L430*K430+M430+N430+O430)*IF(F430="Promoção",1-Parâmetros!$B$22,1)</f>
        <v>202.85999999999999</v>
      </c>
      <c r="Q430" s="10">
        <f>Parâmetros!$B$20*K430</f>
        <v>84</v>
      </c>
      <c r="R430" s="10">
        <f>P430-Q430</f>
        <v>118.85999999999999</v>
      </c>
    </row>
    <row r="431" spans="1:18">
      <c r="A431">
        <v>430</v>
      </c>
      <c r="B431" s="8">
        <v>45864</v>
      </c>
      <c r="C431" t="s">
        <v>6</v>
      </c>
      <c r="D431" t="s">
        <v>46</v>
      </c>
      <c r="E431" t="s">
        <v>53</v>
      </c>
      <c r="F431" t="s">
        <v>54</v>
      </c>
      <c r="G431" t="s">
        <v>44</v>
      </c>
      <c r="H431" t="s">
        <v>44</v>
      </c>
      <c r="I431" t="s">
        <v>44</v>
      </c>
      <c r="J431" t="s">
        <v>45</v>
      </c>
      <c r="K431" s="9">
        <v>29</v>
      </c>
      <c r="L431" s="10">
        <f>IFERROR(VLOOKUP(C431,Parâmetros!$A$5:$D$7,IF(D431="Mensal",2,IF(D431="Trimestral",3,4)),0),0)</f>
        <v>9.99</v>
      </c>
      <c r="M431" s="10">
        <f>IF(G431="Sim",VLOOKUP("EA Play",Parâmetros!$A$11:$B$13,2,0),0)*K431</f>
        <v>0</v>
      </c>
      <c r="N431" s="10">
        <f>IF(H431="Sim",VLOOKUP("Minecraft Pass",Parâmetros!$A$11:$B$13,2,0),0)*K431</f>
        <v>0</v>
      </c>
      <c r="O431" s="10">
        <f>IF(I431="Sim",VLOOKUP("Call of Duty Pass",Parâmetros!$A$11:$B$13,2,0),0)*K431</f>
        <v>0</v>
      </c>
      <c r="P431" s="10">
        <f>(L431*K431+M431+N431+O431)*IF(F431="Promoção",1-Parâmetros!$B$22,1)</f>
        <v>260.73899999999998</v>
      </c>
      <c r="Q431" s="10">
        <f>Parâmetros!$B$20*K431</f>
        <v>348</v>
      </c>
      <c r="R431" s="10">
        <f>P431-Q431</f>
        <v>-87.261000000000024</v>
      </c>
    </row>
    <row r="432" spans="1:18">
      <c r="A432">
        <v>431</v>
      </c>
      <c r="B432" s="8">
        <v>45678</v>
      </c>
      <c r="C432" t="s">
        <v>7</v>
      </c>
      <c r="D432" t="s">
        <v>40</v>
      </c>
      <c r="E432" t="s">
        <v>51</v>
      </c>
      <c r="F432" t="s">
        <v>54</v>
      </c>
      <c r="G432" t="s">
        <v>44</v>
      </c>
      <c r="H432" t="s">
        <v>44</v>
      </c>
      <c r="I432" t="s">
        <v>44</v>
      </c>
      <c r="J432" t="s">
        <v>49</v>
      </c>
      <c r="K432" s="9">
        <v>8</v>
      </c>
      <c r="L432" s="10">
        <f>IFERROR(VLOOKUP(C432,Parâmetros!$A$5:$D$7,IF(D432="Mensal",2,IF(D432="Trimestral",3,4)),0),0)</f>
        <v>40</v>
      </c>
      <c r="M432" s="10">
        <f>IF(G432="Sim",VLOOKUP("EA Play",Parâmetros!$A$11:$B$13,2,0),0)*K432</f>
        <v>0</v>
      </c>
      <c r="N432" s="10">
        <f>IF(H432="Sim",VLOOKUP("Minecraft Pass",Parâmetros!$A$11:$B$13,2,0),0)*K432</f>
        <v>0</v>
      </c>
      <c r="O432" s="10">
        <f>IF(I432="Sim",VLOOKUP("Call of Duty Pass",Parâmetros!$A$11:$B$13,2,0),0)*K432</f>
        <v>0</v>
      </c>
      <c r="P432" s="10">
        <f>(L432*K432+M432+N432+O432)*IF(F432="Promoção",1-Parâmetros!$B$22,1)</f>
        <v>288</v>
      </c>
      <c r="Q432" s="10">
        <f>Parâmetros!$B$20*K432</f>
        <v>96</v>
      </c>
      <c r="R432" s="10">
        <f>P432-Q432</f>
        <v>192</v>
      </c>
    </row>
    <row r="433" spans="1:18">
      <c r="A433">
        <v>432</v>
      </c>
      <c r="B433" s="8">
        <v>45556</v>
      </c>
      <c r="C433" t="s">
        <v>6</v>
      </c>
      <c r="D433" t="s">
        <v>40</v>
      </c>
      <c r="E433" t="s">
        <v>53</v>
      </c>
      <c r="F433" t="s">
        <v>52</v>
      </c>
      <c r="G433" t="s">
        <v>43</v>
      </c>
      <c r="H433" t="s">
        <v>43</v>
      </c>
      <c r="I433" t="s">
        <v>44</v>
      </c>
      <c r="J433" t="s">
        <v>49</v>
      </c>
      <c r="K433" s="9">
        <v>1</v>
      </c>
      <c r="L433" s="10">
        <f>IFERROR(VLOOKUP(C433,Parâmetros!$A$5:$D$7,IF(D433="Mensal",2,IF(D433="Trimestral",3,4)),0),0)</f>
        <v>27</v>
      </c>
      <c r="M433" s="10">
        <f>IF(G433="Sim",VLOOKUP("EA Play",Parâmetros!$A$11:$B$13,2,0),0)*K433</f>
        <v>4.99</v>
      </c>
      <c r="N433" s="10">
        <f>IF(H433="Sim",VLOOKUP("Minecraft Pass",Parâmetros!$A$11:$B$13,2,0),0)*K433</f>
        <v>3.99</v>
      </c>
      <c r="O433" s="10">
        <f>IF(I433="Sim",VLOOKUP("Call of Duty Pass",Parâmetros!$A$11:$B$13,2,0),0)*K433</f>
        <v>0</v>
      </c>
      <c r="P433" s="10">
        <f>(L433*K433+M433+N433+O433)*IF(F433="Promoção",1-Parâmetros!$B$22,1)</f>
        <v>35.980000000000004</v>
      </c>
      <c r="Q433" s="10">
        <f>Parâmetros!$B$20*K433</f>
        <v>12</v>
      </c>
      <c r="R433" s="10">
        <f>P433-Q433</f>
        <v>23.980000000000004</v>
      </c>
    </row>
    <row r="434" spans="1:18">
      <c r="A434">
        <v>433</v>
      </c>
      <c r="B434" s="8">
        <v>46009</v>
      </c>
      <c r="C434" t="s">
        <v>8</v>
      </c>
      <c r="D434" t="s">
        <v>46</v>
      </c>
      <c r="E434" t="s">
        <v>41</v>
      </c>
      <c r="F434" t="s">
        <v>52</v>
      </c>
      <c r="G434" t="s">
        <v>44</v>
      </c>
      <c r="H434" t="s">
        <v>43</v>
      </c>
      <c r="I434" t="s">
        <v>44</v>
      </c>
      <c r="J434" t="s">
        <v>49</v>
      </c>
      <c r="K434" s="9">
        <v>23</v>
      </c>
      <c r="L434" s="10">
        <f>IFERROR(VLOOKUP(C434,Parâmetros!$A$5:$D$7,IF(D434="Mensal",2,IF(D434="Trimestral",3,4)),0),0)</f>
        <v>21.99</v>
      </c>
      <c r="M434" s="10">
        <f>IF(G434="Sim",VLOOKUP("EA Play",Parâmetros!$A$11:$B$13,2,0),0)*K434</f>
        <v>0</v>
      </c>
      <c r="N434" s="10">
        <f>IF(H434="Sim",VLOOKUP("Minecraft Pass",Parâmetros!$A$11:$B$13,2,0),0)*K434</f>
        <v>91.77000000000001</v>
      </c>
      <c r="O434" s="10">
        <f>IF(I434="Sim",VLOOKUP("Call of Duty Pass",Parâmetros!$A$11:$B$13,2,0),0)*K434</f>
        <v>0</v>
      </c>
      <c r="P434" s="10">
        <f>(L434*K434+M434+N434+O434)*IF(F434="Promoção",1-Parâmetros!$B$22,1)</f>
        <v>597.54</v>
      </c>
      <c r="Q434" s="10">
        <f>Parâmetros!$B$20*K434</f>
        <v>276</v>
      </c>
      <c r="R434" s="10">
        <f>P434-Q434</f>
        <v>321.53999999999996</v>
      </c>
    </row>
    <row r="435" spans="1:18">
      <c r="A435">
        <v>434</v>
      </c>
      <c r="B435" s="8">
        <v>45515</v>
      </c>
      <c r="C435" t="s">
        <v>8</v>
      </c>
      <c r="D435" t="s">
        <v>46</v>
      </c>
      <c r="E435" t="s">
        <v>53</v>
      </c>
      <c r="F435" t="s">
        <v>52</v>
      </c>
      <c r="G435" t="s">
        <v>44</v>
      </c>
      <c r="H435" t="s">
        <v>44</v>
      </c>
      <c r="I435" t="s">
        <v>43</v>
      </c>
      <c r="J435" t="s">
        <v>45</v>
      </c>
      <c r="K435" s="9">
        <v>17</v>
      </c>
      <c r="L435" s="10">
        <f>IFERROR(VLOOKUP(C435,Parâmetros!$A$5:$D$7,IF(D435="Mensal",2,IF(D435="Trimestral",3,4)),0),0)</f>
        <v>21.99</v>
      </c>
      <c r="M435" s="10">
        <f>IF(G435="Sim",VLOOKUP("EA Play",Parâmetros!$A$11:$B$13,2,0),0)*K435</f>
        <v>0</v>
      </c>
      <c r="N435" s="10">
        <f>IF(H435="Sim",VLOOKUP("Minecraft Pass",Parâmetros!$A$11:$B$13,2,0),0)*K435</f>
        <v>0</v>
      </c>
      <c r="O435" s="10">
        <f>IF(I435="Sim",VLOOKUP("Call of Duty Pass",Parâmetros!$A$11:$B$13,2,0),0)*K435</f>
        <v>118.83</v>
      </c>
      <c r="P435" s="10">
        <f>(L435*K435+M435+N435+O435)*IF(F435="Promoção",1-Parâmetros!$B$22,1)</f>
        <v>492.65999999999997</v>
      </c>
      <c r="Q435" s="10">
        <f>Parâmetros!$B$20*K435</f>
        <v>204</v>
      </c>
      <c r="R435" s="10">
        <f>P435-Q435</f>
        <v>288.65999999999997</v>
      </c>
    </row>
    <row r="436" spans="1:18">
      <c r="A436">
        <v>435</v>
      </c>
      <c r="B436" s="8">
        <v>45503</v>
      </c>
      <c r="C436" t="s">
        <v>6</v>
      </c>
      <c r="D436" t="s">
        <v>50</v>
      </c>
      <c r="E436" t="s">
        <v>51</v>
      </c>
      <c r="F436" t="s">
        <v>42</v>
      </c>
      <c r="G436" t="s">
        <v>44</v>
      </c>
      <c r="H436" t="s">
        <v>43</v>
      </c>
      <c r="I436" t="s">
        <v>43</v>
      </c>
      <c r="J436" t="s">
        <v>45</v>
      </c>
      <c r="K436" s="9">
        <v>32</v>
      </c>
      <c r="L436" s="10">
        <f>IFERROR(VLOOKUP(C436,Parâmetros!$A$5:$D$7,IF(D436="Mensal",2,IF(D436="Trimestral",3,4)),0),0)</f>
        <v>99</v>
      </c>
      <c r="M436" s="10">
        <f>IF(G436="Sim",VLOOKUP("EA Play",Parâmetros!$A$11:$B$13,2,0),0)*K436</f>
        <v>0</v>
      </c>
      <c r="N436" s="10">
        <f>IF(H436="Sim",VLOOKUP("Minecraft Pass",Parâmetros!$A$11:$B$13,2,0),0)*K436</f>
        <v>127.68</v>
      </c>
      <c r="O436" s="10">
        <f>IF(I436="Sim",VLOOKUP("Call of Duty Pass",Parâmetros!$A$11:$B$13,2,0),0)*K436</f>
        <v>223.68</v>
      </c>
      <c r="P436" s="10">
        <f>(L436*K436+M436+N436+O436)*IF(F436="Promoção",1-Parâmetros!$B$22,1)</f>
        <v>3519.3599999999997</v>
      </c>
      <c r="Q436" s="10">
        <f>Parâmetros!$B$20*K436</f>
        <v>384</v>
      </c>
      <c r="R436" s="10">
        <f>P436-Q436</f>
        <v>3135.3599999999997</v>
      </c>
    </row>
    <row r="437" spans="1:18">
      <c r="A437">
        <v>436</v>
      </c>
      <c r="B437" s="8">
        <v>45920</v>
      </c>
      <c r="C437" t="s">
        <v>6</v>
      </c>
      <c r="D437" t="s">
        <v>50</v>
      </c>
      <c r="E437" t="s">
        <v>53</v>
      </c>
      <c r="F437" t="s">
        <v>54</v>
      </c>
      <c r="G437" t="s">
        <v>43</v>
      </c>
      <c r="H437" t="s">
        <v>43</v>
      </c>
      <c r="I437" t="s">
        <v>44</v>
      </c>
      <c r="J437" t="s">
        <v>45</v>
      </c>
      <c r="K437" s="9">
        <v>18</v>
      </c>
      <c r="L437" s="10">
        <f>IFERROR(VLOOKUP(C437,Parâmetros!$A$5:$D$7,IF(D437="Mensal",2,IF(D437="Trimestral",3,4)),0),0)</f>
        <v>99</v>
      </c>
      <c r="M437" s="10">
        <f>IF(G437="Sim",VLOOKUP("EA Play",Parâmetros!$A$11:$B$13,2,0),0)*K437</f>
        <v>89.820000000000007</v>
      </c>
      <c r="N437" s="10">
        <f>IF(H437="Sim",VLOOKUP("Minecraft Pass",Parâmetros!$A$11:$B$13,2,0),0)*K437</f>
        <v>71.820000000000007</v>
      </c>
      <c r="O437" s="10">
        <f>IF(I437="Sim",VLOOKUP("Call of Duty Pass",Parâmetros!$A$11:$B$13,2,0),0)*K437</f>
        <v>0</v>
      </c>
      <c r="P437" s="10">
        <f>(L437*K437+M437+N437+O437)*IF(F437="Promoção",1-Parâmetros!$B$22,1)</f>
        <v>1749.2759999999998</v>
      </c>
      <c r="Q437" s="10">
        <f>Parâmetros!$B$20*K437</f>
        <v>216</v>
      </c>
      <c r="R437" s="10">
        <f>P437-Q437</f>
        <v>1533.2759999999998</v>
      </c>
    </row>
    <row r="438" spans="1:18">
      <c r="A438">
        <v>437</v>
      </c>
      <c r="B438" s="8">
        <v>45794</v>
      </c>
      <c r="C438" t="s">
        <v>6</v>
      </c>
      <c r="D438" t="s">
        <v>40</v>
      </c>
      <c r="E438" t="s">
        <v>47</v>
      </c>
      <c r="F438" t="s">
        <v>42</v>
      </c>
      <c r="G438" t="s">
        <v>44</v>
      </c>
      <c r="H438" t="s">
        <v>43</v>
      </c>
      <c r="I438" t="s">
        <v>44</v>
      </c>
      <c r="J438" t="s">
        <v>49</v>
      </c>
      <c r="K438" s="9">
        <v>35</v>
      </c>
      <c r="L438" s="10">
        <f>IFERROR(VLOOKUP(C438,Parâmetros!$A$5:$D$7,IF(D438="Mensal",2,IF(D438="Trimestral",3,4)),0),0)</f>
        <v>27</v>
      </c>
      <c r="M438" s="10">
        <f>IF(G438="Sim",VLOOKUP("EA Play",Parâmetros!$A$11:$B$13,2,0),0)*K438</f>
        <v>0</v>
      </c>
      <c r="N438" s="10">
        <f>IF(H438="Sim",VLOOKUP("Minecraft Pass",Parâmetros!$A$11:$B$13,2,0),0)*K438</f>
        <v>139.65</v>
      </c>
      <c r="O438" s="10">
        <f>IF(I438="Sim",VLOOKUP("Call of Duty Pass",Parâmetros!$A$11:$B$13,2,0),0)*K438</f>
        <v>0</v>
      </c>
      <c r="P438" s="10">
        <f>(L438*K438+M438+N438+O438)*IF(F438="Promoção",1-Parâmetros!$B$22,1)</f>
        <v>1084.6500000000001</v>
      </c>
      <c r="Q438" s="10">
        <f>Parâmetros!$B$20*K438</f>
        <v>420</v>
      </c>
      <c r="R438" s="10">
        <f>P438-Q438</f>
        <v>664.65000000000009</v>
      </c>
    </row>
    <row r="439" spans="1:18">
      <c r="A439">
        <v>438</v>
      </c>
      <c r="B439" s="8">
        <v>45325</v>
      </c>
      <c r="C439" t="s">
        <v>7</v>
      </c>
      <c r="D439" t="s">
        <v>46</v>
      </c>
      <c r="E439" t="s">
        <v>51</v>
      </c>
      <c r="F439" t="s">
        <v>42</v>
      </c>
      <c r="G439" t="s">
        <v>44</v>
      </c>
      <c r="H439" t="s">
        <v>44</v>
      </c>
      <c r="I439" t="s">
        <v>44</v>
      </c>
      <c r="J439" t="s">
        <v>45</v>
      </c>
      <c r="K439" s="9">
        <v>1</v>
      </c>
      <c r="L439" s="10">
        <f>IFERROR(VLOOKUP(C439,Parâmetros!$A$5:$D$7,IF(D439="Mensal",2,IF(D439="Trimestral",3,4)),0),0)</f>
        <v>14.99</v>
      </c>
      <c r="M439" s="10">
        <f>IF(G439="Sim",VLOOKUP("EA Play",Parâmetros!$A$11:$B$13,2,0),0)*K439</f>
        <v>0</v>
      </c>
      <c r="N439" s="10">
        <f>IF(H439="Sim",VLOOKUP("Minecraft Pass",Parâmetros!$A$11:$B$13,2,0),0)*K439</f>
        <v>0</v>
      </c>
      <c r="O439" s="10">
        <f>IF(I439="Sim",VLOOKUP("Call of Duty Pass",Parâmetros!$A$11:$B$13,2,0),0)*K439</f>
        <v>0</v>
      </c>
      <c r="P439" s="10">
        <f>(L439*K439+M439+N439+O439)*IF(F439="Promoção",1-Parâmetros!$B$22,1)</f>
        <v>14.99</v>
      </c>
      <c r="Q439" s="10">
        <f>Parâmetros!$B$20*K439</f>
        <v>12</v>
      </c>
      <c r="R439" s="10">
        <f>P439-Q439</f>
        <v>2.99</v>
      </c>
    </row>
    <row r="440" spans="1:18">
      <c r="A440">
        <v>439</v>
      </c>
      <c r="B440" s="8">
        <v>45982</v>
      </c>
      <c r="C440" t="s">
        <v>6</v>
      </c>
      <c r="D440" t="s">
        <v>40</v>
      </c>
      <c r="E440" t="s">
        <v>41</v>
      </c>
      <c r="F440" t="s">
        <v>52</v>
      </c>
      <c r="G440" t="s">
        <v>43</v>
      </c>
      <c r="H440" t="s">
        <v>44</v>
      </c>
      <c r="I440" t="s">
        <v>43</v>
      </c>
      <c r="J440" t="s">
        <v>49</v>
      </c>
      <c r="K440" s="9">
        <v>22</v>
      </c>
      <c r="L440" s="10">
        <f>IFERROR(VLOOKUP(C440,Parâmetros!$A$5:$D$7,IF(D440="Mensal",2,IF(D440="Trimestral",3,4)),0),0)</f>
        <v>27</v>
      </c>
      <c r="M440" s="10">
        <f>IF(G440="Sim",VLOOKUP("EA Play",Parâmetros!$A$11:$B$13,2,0),0)*K440</f>
        <v>109.78</v>
      </c>
      <c r="N440" s="10">
        <f>IF(H440="Sim",VLOOKUP("Minecraft Pass",Parâmetros!$A$11:$B$13,2,0),0)*K440</f>
        <v>0</v>
      </c>
      <c r="O440" s="10">
        <f>IF(I440="Sim",VLOOKUP("Call of Duty Pass",Parâmetros!$A$11:$B$13,2,0),0)*K440</f>
        <v>153.78</v>
      </c>
      <c r="P440" s="10">
        <f>(L440*K440+M440+N440+O440)*IF(F440="Promoção",1-Parâmetros!$B$22,1)</f>
        <v>857.56</v>
      </c>
      <c r="Q440" s="10">
        <f>Parâmetros!$B$20*K440</f>
        <v>264</v>
      </c>
      <c r="R440" s="10">
        <f>P440-Q440</f>
        <v>593.55999999999995</v>
      </c>
    </row>
    <row r="441" spans="1:18">
      <c r="A441">
        <v>440</v>
      </c>
      <c r="B441" s="8">
        <v>45666</v>
      </c>
      <c r="C441" t="s">
        <v>6</v>
      </c>
      <c r="D441" t="s">
        <v>46</v>
      </c>
      <c r="E441" t="s">
        <v>41</v>
      </c>
      <c r="F441" t="s">
        <v>52</v>
      </c>
      <c r="G441" t="s">
        <v>43</v>
      </c>
      <c r="H441" t="s">
        <v>44</v>
      </c>
      <c r="I441" t="s">
        <v>44</v>
      </c>
      <c r="J441" t="s">
        <v>45</v>
      </c>
      <c r="K441" s="9">
        <v>15</v>
      </c>
      <c r="L441" s="10">
        <f>IFERROR(VLOOKUP(C441,Parâmetros!$A$5:$D$7,IF(D441="Mensal",2,IF(D441="Trimestral",3,4)),0),0)</f>
        <v>9.99</v>
      </c>
      <c r="M441" s="10">
        <f>IF(G441="Sim",VLOOKUP("EA Play",Parâmetros!$A$11:$B$13,2,0),0)*K441</f>
        <v>74.850000000000009</v>
      </c>
      <c r="N441" s="10">
        <f>IF(H441="Sim",VLOOKUP("Minecraft Pass",Parâmetros!$A$11:$B$13,2,0),0)*K441</f>
        <v>0</v>
      </c>
      <c r="O441" s="10">
        <f>IF(I441="Sim",VLOOKUP("Call of Duty Pass",Parâmetros!$A$11:$B$13,2,0),0)*K441</f>
        <v>0</v>
      </c>
      <c r="P441" s="10">
        <f>(L441*K441+M441+N441+O441)*IF(F441="Promoção",1-Parâmetros!$B$22,1)</f>
        <v>224.7</v>
      </c>
      <c r="Q441" s="10">
        <f>Parâmetros!$B$20*K441</f>
        <v>180</v>
      </c>
      <c r="R441" s="10">
        <f>P441-Q441</f>
        <v>44.699999999999989</v>
      </c>
    </row>
    <row r="442" spans="1:18">
      <c r="A442">
        <v>441</v>
      </c>
      <c r="B442" s="8">
        <v>45394</v>
      </c>
      <c r="C442" t="s">
        <v>7</v>
      </c>
      <c r="D442" t="s">
        <v>50</v>
      </c>
      <c r="E442" t="s">
        <v>47</v>
      </c>
      <c r="F442" t="s">
        <v>54</v>
      </c>
      <c r="G442" t="s">
        <v>43</v>
      </c>
      <c r="H442" t="s">
        <v>44</v>
      </c>
      <c r="I442" t="s">
        <v>44</v>
      </c>
      <c r="J442" t="s">
        <v>49</v>
      </c>
      <c r="K442" s="9">
        <v>1</v>
      </c>
      <c r="L442" s="10">
        <f>IFERROR(VLOOKUP(C442,Parâmetros!$A$5:$D$7,IF(D442="Mensal",2,IF(D442="Trimestral",3,4)),0),0)</f>
        <v>149</v>
      </c>
      <c r="M442" s="10">
        <f>IF(G442="Sim",VLOOKUP("EA Play",Parâmetros!$A$11:$B$13,2,0),0)*K442</f>
        <v>4.99</v>
      </c>
      <c r="N442" s="10">
        <f>IF(H442="Sim",VLOOKUP("Minecraft Pass",Parâmetros!$A$11:$B$13,2,0),0)*K442</f>
        <v>0</v>
      </c>
      <c r="O442" s="10">
        <f>IF(I442="Sim",VLOOKUP("Call of Duty Pass",Parâmetros!$A$11:$B$13,2,0),0)*K442</f>
        <v>0</v>
      </c>
      <c r="P442" s="10">
        <f>(L442*K442+M442+N442+O442)*IF(F442="Promoção",1-Parâmetros!$B$22,1)</f>
        <v>138.59100000000001</v>
      </c>
      <c r="Q442" s="10">
        <f>Parâmetros!$B$20*K442</f>
        <v>12</v>
      </c>
      <c r="R442" s="10">
        <f>P442-Q442</f>
        <v>126.59100000000001</v>
      </c>
    </row>
    <row r="443" spans="1:18">
      <c r="A443">
        <v>442</v>
      </c>
      <c r="B443" s="8">
        <v>45472</v>
      </c>
      <c r="C443" t="s">
        <v>7</v>
      </c>
      <c r="D443" t="s">
        <v>46</v>
      </c>
      <c r="E443" t="s">
        <v>55</v>
      </c>
      <c r="F443" t="s">
        <v>52</v>
      </c>
      <c r="G443" t="s">
        <v>44</v>
      </c>
      <c r="H443" t="s">
        <v>43</v>
      </c>
      <c r="I443" t="s">
        <v>44</v>
      </c>
      <c r="J443" t="s">
        <v>49</v>
      </c>
      <c r="K443" s="9">
        <v>4</v>
      </c>
      <c r="L443" s="10">
        <f>IFERROR(VLOOKUP(C443,Parâmetros!$A$5:$D$7,IF(D443="Mensal",2,IF(D443="Trimestral",3,4)),0),0)</f>
        <v>14.99</v>
      </c>
      <c r="M443" s="10">
        <f>IF(G443="Sim",VLOOKUP("EA Play",Parâmetros!$A$11:$B$13,2,0),0)*K443</f>
        <v>0</v>
      </c>
      <c r="N443" s="10">
        <f>IF(H443="Sim",VLOOKUP("Minecraft Pass",Parâmetros!$A$11:$B$13,2,0),0)*K443</f>
        <v>15.96</v>
      </c>
      <c r="O443" s="10">
        <f>IF(I443="Sim",VLOOKUP("Call of Duty Pass",Parâmetros!$A$11:$B$13,2,0),0)*K443</f>
        <v>0</v>
      </c>
      <c r="P443" s="10">
        <f>(L443*K443+M443+N443+O443)*IF(F443="Promoção",1-Parâmetros!$B$22,1)</f>
        <v>75.92</v>
      </c>
      <c r="Q443" s="10">
        <f>Parâmetros!$B$20*K443</f>
        <v>48</v>
      </c>
      <c r="R443" s="10">
        <f>P443-Q443</f>
        <v>27.92</v>
      </c>
    </row>
    <row r="444" spans="1:18">
      <c r="A444">
        <v>443</v>
      </c>
      <c r="B444" s="8">
        <v>45699</v>
      </c>
      <c r="C444" t="s">
        <v>6</v>
      </c>
      <c r="D444" t="s">
        <v>46</v>
      </c>
      <c r="E444" t="s">
        <v>41</v>
      </c>
      <c r="F444" t="s">
        <v>42</v>
      </c>
      <c r="G444" t="s">
        <v>44</v>
      </c>
      <c r="H444" t="s">
        <v>43</v>
      </c>
      <c r="I444" t="s">
        <v>44</v>
      </c>
      <c r="J444" t="s">
        <v>49</v>
      </c>
      <c r="K444" s="9">
        <v>24</v>
      </c>
      <c r="L444" s="10">
        <f>IFERROR(VLOOKUP(C444,Parâmetros!$A$5:$D$7,IF(D444="Mensal",2,IF(D444="Trimestral",3,4)),0),0)</f>
        <v>9.99</v>
      </c>
      <c r="M444" s="10">
        <f>IF(G444="Sim",VLOOKUP("EA Play",Parâmetros!$A$11:$B$13,2,0),0)*K444</f>
        <v>0</v>
      </c>
      <c r="N444" s="10">
        <f>IF(H444="Sim",VLOOKUP("Minecraft Pass",Parâmetros!$A$11:$B$13,2,0),0)*K444</f>
        <v>95.76</v>
      </c>
      <c r="O444" s="10">
        <f>IF(I444="Sim",VLOOKUP("Call of Duty Pass",Parâmetros!$A$11:$B$13,2,0),0)*K444</f>
        <v>0</v>
      </c>
      <c r="P444" s="10">
        <f>(L444*K444+M444+N444+O444)*IF(F444="Promoção",1-Parâmetros!$B$22,1)</f>
        <v>335.52</v>
      </c>
      <c r="Q444" s="10">
        <f>Parâmetros!$B$20*K444</f>
        <v>288</v>
      </c>
      <c r="R444" s="10">
        <f>P444-Q444</f>
        <v>47.519999999999982</v>
      </c>
    </row>
    <row r="445" spans="1:18">
      <c r="A445">
        <v>444</v>
      </c>
      <c r="B445" s="8">
        <v>45865</v>
      </c>
      <c r="C445" t="s">
        <v>7</v>
      </c>
      <c r="D445" t="s">
        <v>50</v>
      </c>
      <c r="E445" t="s">
        <v>41</v>
      </c>
      <c r="F445" t="s">
        <v>48</v>
      </c>
      <c r="G445" t="s">
        <v>43</v>
      </c>
      <c r="H445" t="s">
        <v>44</v>
      </c>
      <c r="I445" t="s">
        <v>44</v>
      </c>
      <c r="J445" t="s">
        <v>45</v>
      </c>
      <c r="K445" s="9">
        <v>35</v>
      </c>
      <c r="L445" s="10">
        <f>IFERROR(VLOOKUP(C445,Parâmetros!$A$5:$D$7,IF(D445="Mensal",2,IF(D445="Trimestral",3,4)),0),0)</f>
        <v>149</v>
      </c>
      <c r="M445" s="10">
        <f>IF(G445="Sim",VLOOKUP("EA Play",Parâmetros!$A$11:$B$13,2,0),0)*K445</f>
        <v>174.65</v>
      </c>
      <c r="N445" s="10">
        <f>IF(H445="Sim",VLOOKUP("Minecraft Pass",Parâmetros!$A$11:$B$13,2,0),0)*K445</f>
        <v>0</v>
      </c>
      <c r="O445" s="10">
        <f>IF(I445="Sim",VLOOKUP("Call of Duty Pass",Parâmetros!$A$11:$B$13,2,0),0)*K445</f>
        <v>0</v>
      </c>
      <c r="P445" s="10">
        <f>(L445*K445+M445+N445+O445)*IF(F445="Promoção",1-Parâmetros!$B$22,1)</f>
        <v>5389.65</v>
      </c>
      <c r="Q445" s="10">
        <f>Parâmetros!$B$20*K445</f>
        <v>420</v>
      </c>
      <c r="R445" s="10">
        <f>P445-Q445</f>
        <v>4969.6499999999996</v>
      </c>
    </row>
    <row r="446" spans="1:18">
      <c r="A446">
        <v>445</v>
      </c>
      <c r="B446" s="8">
        <v>45470</v>
      </c>
      <c r="C446" t="s">
        <v>8</v>
      </c>
      <c r="D446" t="s">
        <v>46</v>
      </c>
      <c r="E446" t="s">
        <v>41</v>
      </c>
      <c r="F446" t="s">
        <v>48</v>
      </c>
      <c r="G446" t="s">
        <v>44</v>
      </c>
      <c r="H446" t="s">
        <v>44</v>
      </c>
      <c r="I446" t="s">
        <v>43</v>
      </c>
      <c r="J446" t="s">
        <v>45</v>
      </c>
      <c r="K446" s="9">
        <v>30</v>
      </c>
      <c r="L446" s="10">
        <f>IFERROR(VLOOKUP(C446,Parâmetros!$A$5:$D$7,IF(D446="Mensal",2,IF(D446="Trimestral",3,4)),0),0)</f>
        <v>21.99</v>
      </c>
      <c r="M446" s="10">
        <f>IF(G446="Sim",VLOOKUP("EA Play",Parâmetros!$A$11:$B$13,2,0),0)*K446</f>
        <v>0</v>
      </c>
      <c r="N446" s="10">
        <f>IF(H446="Sim",VLOOKUP("Minecraft Pass",Parâmetros!$A$11:$B$13,2,0),0)*K446</f>
        <v>0</v>
      </c>
      <c r="O446" s="10">
        <f>IF(I446="Sim",VLOOKUP("Call of Duty Pass",Parâmetros!$A$11:$B$13,2,0),0)*K446</f>
        <v>209.70000000000002</v>
      </c>
      <c r="P446" s="10">
        <f>(L446*K446+M446+N446+O446)*IF(F446="Promoção",1-Parâmetros!$B$22,1)</f>
        <v>869.4</v>
      </c>
      <c r="Q446" s="10">
        <f>Parâmetros!$B$20*K446</f>
        <v>360</v>
      </c>
      <c r="R446" s="10">
        <f>P446-Q446</f>
        <v>509.4</v>
      </c>
    </row>
    <row r="447" spans="1:18">
      <c r="A447">
        <v>446</v>
      </c>
      <c r="B447" s="8">
        <v>45938</v>
      </c>
      <c r="C447" t="s">
        <v>8</v>
      </c>
      <c r="D447" t="s">
        <v>50</v>
      </c>
      <c r="E447" t="s">
        <v>51</v>
      </c>
      <c r="F447" t="s">
        <v>54</v>
      </c>
      <c r="G447" t="s">
        <v>43</v>
      </c>
      <c r="H447" t="s">
        <v>44</v>
      </c>
      <c r="I447" t="s">
        <v>44</v>
      </c>
      <c r="J447" t="s">
        <v>45</v>
      </c>
      <c r="K447" s="9">
        <v>6</v>
      </c>
      <c r="L447" s="10">
        <f>IFERROR(VLOOKUP(C447,Parâmetros!$A$5:$D$7,IF(D447="Mensal",2,IF(D447="Trimestral",3,4)),0),0)</f>
        <v>219</v>
      </c>
      <c r="M447" s="10">
        <f>IF(G447="Sim",VLOOKUP("EA Play",Parâmetros!$A$11:$B$13,2,0),0)*K447</f>
        <v>29.94</v>
      </c>
      <c r="N447" s="10">
        <f>IF(H447="Sim",VLOOKUP("Minecraft Pass",Parâmetros!$A$11:$B$13,2,0),0)*K447</f>
        <v>0</v>
      </c>
      <c r="O447" s="10">
        <f>IF(I447="Sim",VLOOKUP("Call of Duty Pass",Parâmetros!$A$11:$B$13,2,0),0)*K447</f>
        <v>0</v>
      </c>
      <c r="P447" s="10">
        <f>(L447*K447+M447+N447+O447)*IF(F447="Promoção",1-Parâmetros!$B$22,1)</f>
        <v>1209.546</v>
      </c>
      <c r="Q447" s="10">
        <f>Parâmetros!$B$20*K447</f>
        <v>72</v>
      </c>
      <c r="R447" s="10">
        <f>P447-Q447</f>
        <v>1137.546</v>
      </c>
    </row>
    <row r="448" spans="1:18">
      <c r="A448">
        <v>447</v>
      </c>
      <c r="B448" s="8">
        <v>45457</v>
      </c>
      <c r="C448" t="s">
        <v>6</v>
      </c>
      <c r="D448" t="s">
        <v>46</v>
      </c>
      <c r="E448" t="s">
        <v>51</v>
      </c>
      <c r="F448" t="s">
        <v>52</v>
      </c>
      <c r="G448" t="s">
        <v>44</v>
      </c>
      <c r="H448" t="s">
        <v>43</v>
      </c>
      <c r="I448" t="s">
        <v>44</v>
      </c>
      <c r="J448" t="s">
        <v>45</v>
      </c>
      <c r="K448" s="9">
        <v>24</v>
      </c>
      <c r="L448" s="10">
        <f>IFERROR(VLOOKUP(C448,Parâmetros!$A$5:$D$7,IF(D448="Mensal",2,IF(D448="Trimestral",3,4)),0),0)</f>
        <v>9.99</v>
      </c>
      <c r="M448" s="10">
        <f>IF(G448="Sim",VLOOKUP("EA Play",Parâmetros!$A$11:$B$13,2,0),0)*K448</f>
        <v>0</v>
      </c>
      <c r="N448" s="10">
        <f>IF(H448="Sim",VLOOKUP("Minecraft Pass",Parâmetros!$A$11:$B$13,2,0),0)*K448</f>
        <v>95.76</v>
      </c>
      <c r="O448" s="10">
        <f>IF(I448="Sim",VLOOKUP("Call of Duty Pass",Parâmetros!$A$11:$B$13,2,0),0)*K448</f>
        <v>0</v>
      </c>
      <c r="P448" s="10">
        <f>(L448*K448+M448+N448+O448)*IF(F448="Promoção",1-Parâmetros!$B$22,1)</f>
        <v>335.52</v>
      </c>
      <c r="Q448" s="10">
        <f>Parâmetros!$B$20*K448</f>
        <v>288</v>
      </c>
      <c r="R448" s="10">
        <f>P448-Q448</f>
        <v>47.519999999999982</v>
      </c>
    </row>
    <row r="449" spans="1:18">
      <c r="A449">
        <v>448</v>
      </c>
      <c r="B449" s="8">
        <v>45893</v>
      </c>
      <c r="C449" t="s">
        <v>7</v>
      </c>
      <c r="D449" t="s">
        <v>46</v>
      </c>
      <c r="E449" t="s">
        <v>41</v>
      </c>
      <c r="F449" t="s">
        <v>54</v>
      </c>
      <c r="G449" t="s">
        <v>43</v>
      </c>
      <c r="H449" t="s">
        <v>43</v>
      </c>
      <c r="I449" t="s">
        <v>43</v>
      </c>
      <c r="J449" t="s">
        <v>45</v>
      </c>
      <c r="K449" s="9">
        <v>6</v>
      </c>
      <c r="L449" s="10">
        <f>IFERROR(VLOOKUP(C449,Parâmetros!$A$5:$D$7,IF(D449="Mensal",2,IF(D449="Trimestral",3,4)),0),0)</f>
        <v>14.99</v>
      </c>
      <c r="M449" s="10">
        <f>IF(G449="Sim",VLOOKUP("EA Play",Parâmetros!$A$11:$B$13,2,0),0)*K449</f>
        <v>29.94</v>
      </c>
      <c r="N449" s="10">
        <f>IF(H449="Sim",VLOOKUP("Minecraft Pass",Parâmetros!$A$11:$B$13,2,0),0)*K449</f>
        <v>23.94</v>
      </c>
      <c r="O449" s="10">
        <f>IF(I449="Sim",VLOOKUP("Call of Duty Pass",Parâmetros!$A$11:$B$13,2,0),0)*K449</f>
        <v>41.94</v>
      </c>
      <c r="P449" s="10">
        <f>(L449*K449+M449+N449+O449)*IF(F449="Promoção",1-Parâmetros!$B$22,1)</f>
        <v>167.184</v>
      </c>
      <c r="Q449" s="10">
        <f>Parâmetros!$B$20*K449</f>
        <v>72</v>
      </c>
      <c r="R449" s="10">
        <f>P449-Q449</f>
        <v>95.183999999999997</v>
      </c>
    </row>
    <row r="450" spans="1:18">
      <c r="A450">
        <v>449</v>
      </c>
      <c r="B450" s="8">
        <v>45507</v>
      </c>
      <c r="C450" t="s">
        <v>6</v>
      </c>
      <c r="D450" t="s">
        <v>46</v>
      </c>
      <c r="E450" t="s">
        <v>41</v>
      </c>
      <c r="F450" t="s">
        <v>54</v>
      </c>
      <c r="G450" t="s">
        <v>44</v>
      </c>
      <c r="H450" t="s">
        <v>43</v>
      </c>
      <c r="I450" t="s">
        <v>44</v>
      </c>
      <c r="J450" t="s">
        <v>45</v>
      </c>
      <c r="K450" s="9">
        <v>6</v>
      </c>
      <c r="L450" s="10">
        <f>IFERROR(VLOOKUP(C450,Parâmetros!$A$5:$D$7,IF(D450="Mensal",2,IF(D450="Trimestral",3,4)),0),0)</f>
        <v>9.99</v>
      </c>
      <c r="M450" s="10">
        <f>IF(G450="Sim",VLOOKUP("EA Play",Parâmetros!$A$11:$B$13,2,0),0)*K450</f>
        <v>0</v>
      </c>
      <c r="N450" s="10">
        <f>IF(H450="Sim",VLOOKUP("Minecraft Pass",Parâmetros!$A$11:$B$13,2,0),0)*K450</f>
        <v>23.94</v>
      </c>
      <c r="O450" s="10">
        <f>IF(I450="Sim",VLOOKUP("Call of Duty Pass",Parâmetros!$A$11:$B$13,2,0),0)*K450</f>
        <v>0</v>
      </c>
      <c r="P450" s="10">
        <f>(L450*K450+M450+N450+O450)*IF(F450="Promoção",1-Parâmetros!$B$22,1)</f>
        <v>75.492000000000004</v>
      </c>
      <c r="Q450" s="10">
        <f>Parâmetros!$B$20*K450</f>
        <v>72</v>
      </c>
      <c r="R450" s="10">
        <f>P450-Q450</f>
        <v>3.4920000000000044</v>
      </c>
    </row>
    <row r="451" spans="1:18">
      <c r="A451">
        <v>450</v>
      </c>
      <c r="B451" s="8">
        <v>45398</v>
      </c>
      <c r="C451" t="s">
        <v>6</v>
      </c>
      <c r="D451" t="s">
        <v>46</v>
      </c>
      <c r="E451" t="s">
        <v>51</v>
      </c>
      <c r="F451" t="s">
        <v>54</v>
      </c>
      <c r="G451" t="s">
        <v>43</v>
      </c>
      <c r="H451" t="s">
        <v>43</v>
      </c>
      <c r="I451" t="s">
        <v>43</v>
      </c>
      <c r="J451" t="s">
        <v>45</v>
      </c>
      <c r="K451" s="9">
        <v>9</v>
      </c>
      <c r="L451" s="10">
        <f>IFERROR(VLOOKUP(C451,Parâmetros!$A$5:$D$7,IF(D451="Mensal",2,IF(D451="Trimestral",3,4)),0),0)</f>
        <v>9.99</v>
      </c>
      <c r="M451" s="10">
        <f>IF(G451="Sim",VLOOKUP("EA Play",Parâmetros!$A$11:$B$13,2,0),0)*K451</f>
        <v>44.910000000000004</v>
      </c>
      <c r="N451" s="10">
        <f>IF(H451="Sim",VLOOKUP("Minecraft Pass",Parâmetros!$A$11:$B$13,2,0),0)*K451</f>
        <v>35.910000000000004</v>
      </c>
      <c r="O451" s="10">
        <f>IF(I451="Sim",VLOOKUP("Call of Duty Pass",Parâmetros!$A$11:$B$13,2,0),0)*K451</f>
        <v>62.910000000000004</v>
      </c>
      <c r="P451" s="10">
        <f>(L451*K451+M451+N451+O451)*IF(F451="Promoção",1-Parâmetros!$B$22,1)</f>
        <v>210.27599999999998</v>
      </c>
      <c r="Q451" s="10">
        <f>Parâmetros!$B$20*K451</f>
        <v>108</v>
      </c>
      <c r="R451" s="10">
        <f>P451-Q451</f>
        <v>102.27599999999998</v>
      </c>
    </row>
    <row r="452" spans="1:18">
      <c r="A452">
        <v>451</v>
      </c>
      <c r="B452" s="8">
        <v>45831</v>
      </c>
      <c r="C452" t="s">
        <v>8</v>
      </c>
      <c r="D452" t="s">
        <v>46</v>
      </c>
      <c r="E452" t="s">
        <v>51</v>
      </c>
      <c r="F452" t="s">
        <v>54</v>
      </c>
      <c r="G452" t="s">
        <v>43</v>
      </c>
      <c r="H452" t="s">
        <v>44</v>
      </c>
      <c r="I452" t="s">
        <v>44</v>
      </c>
      <c r="J452" t="s">
        <v>49</v>
      </c>
      <c r="K452" s="9">
        <v>18</v>
      </c>
      <c r="L452" s="10">
        <f>IFERROR(VLOOKUP(C452,Parâmetros!$A$5:$D$7,IF(D452="Mensal",2,IF(D452="Trimestral",3,4)),0),0)</f>
        <v>21.99</v>
      </c>
      <c r="M452" s="10">
        <f>IF(G452="Sim",VLOOKUP("EA Play",Parâmetros!$A$11:$B$13,2,0),0)*K452</f>
        <v>89.820000000000007</v>
      </c>
      <c r="N452" s="10">
        <f>IF(H452="Sim",VLOOKUP("Minecraft Pass",Parâmetros!$A$11:$B$13,2,0),0)*K452</f>
        <v>0</v>
      </c>
      <c r="O452" s="10">
        <f>IF(I452="Sim",VLOOKUP("Call of Duty Pass",Parâmetros!$A$11:$B$13,2,0),0)*K452</f>
        <v>0</v>
      </c>
      <c r="P452" s="10">
        <f>(L452*K452+M452+N452+O452)*IF(F452="Promoção",1-Parâmetros!$B$22,1)</f>
        <v>437.07600000000002</v>
      </c>
      <c r="Q452" s="10">
        <f>Parâmetros!$B$20*K452</f>
        <v>216</v>
      </c>
      <c r="R452" s="10">
        <f>P452-Q452</f>
        <v>221.07600000000002</v>
      </c>
    </row>
    <row r="453" spans="1:18">
      <c r="A453">
        <v>452</v>
      </c>
      <c r="B453" s="8">
        <v>45853</v>
      </c>
      <c r="C453" t="s">
        <v>7</v>
      </c>
      <c r="D453" t="s">
        <v>50</v>
      </c>
      <c r="E453" t="s">
        <v>51</v>
      </c>
      <c r="F453" t="s">
        <v>42</v>
      </c>
      <c r="G453" t="s">
        <v>44</v>
      </c>
      <c r="H453" t="s">
        <v>44</v>
      </c>
      <c r="I453" t="s">
        <v>44</v>
      </c>
      <c r="J453" t="s">
        <v>45</v>
      </c>
      <c r="K453" s="9">
        <v>34</v>
      </c>
      <c r="L453" s="10">
        <f>IFERROR(VLOOKUP(C453,Parâmetros!$A$5:$D$7,IF(D453="Mensal",2,IF(D453="Trimestral",3,4)),0),0)</f>
        <v>149</v>
      </c>
      <c r="M453" s="10">
        <f>IF(G453="Sim",VLOOKUP("EA Play",Parâmetros!$A$11:$B$13,2,0),0)*K453</f>
        <v>0</v>
      </c>
      <c r="N453" s="10">
        <f>IF(H453="Sim",VLOOKUP("Minecraft Pass",Parâmetros!$A$11:$B$13,2,0),0)*K453</f>
        <v>0</v>
      </c>
      <c r="O453" s="10">
        <f>IF(I453="Sim",VLOOKUP("Call of Duty Pass",Parâmetros!$A$11:$B$13,2,0),0)*K453</f>
        <v>0</v>
      </c>
      <c r="P453" s="10">
        <f>(L453*K453+M453+N453+O453)*IF(F453="Promoção",1-Parâmetros!$B$22,1)</f>
        <v>5066</v>
      </c>
      <c r="Q453" s="10">
        <f>Parâmetros!$B$20*K453</f>
        <v>408</v>
      </c>
      <c r="R453" s="10">
        <f>P453-Q453</f>
        <v>4658</v>
      </c>
    </row>
    <row r="454" spans="1:18">
      <c r="A454">
        <v>453</v>
      </c>
      <c r="B454" s="8">
        <v>45947</v>
      </c>
      <c r="C454" t="s">
        <v>7</v>
      </c>
      <c r="D454" t="s">
        <v>46</v>
      </c>
      <c r="E454" t="s">
        <v>41</v>
      </c>
      <c r="F454" t="s">
        <v>48</v>
      </c>
      <c r="G454" t="s">
        <v>44</v>
      </c>
      <c r="H454" t="s">
        <v>44</v>
      </c>
      <c r="I454" t="s">
        <v>44</v>
      </c>
      <c r="J454" t="s">
        <v>49</v>
      </c>
      <c r="K454" s="9">
        <v>20</v>
      </c>
      <c r="L454" s="10">
        <f>IFERROR(VLOOKUP(C454,Parâmetros!$A$5:$D$7,IF(D454="Mensal",2,IF(D454="Trimestral",3,4)),0),0)</f>
        <v>14.99</v>
      </c>
      <c r="M454" s="10">
        <f>IF(G454="Sim",VLOOKUP("EA Play",Parâmetros!$A$11:$B$13,2,0),0)*K454</f>
        <v>0</v>
      </c>
      <c r="N454" s="10">
        <f>IF(H454="Sim",VLOOKUP("Minecraft Pass",Parâmetros!$A$11:$B$13,2,0),0)*K454</f>
        <v>0</v>
      </c>
      <c r="O454" s="10">
        <f>IF(I454="Sim",VLOOKUP("Call of Duty Pass",Parâmetros!$A$11:$B$13,2,0),0)*K454</f>
        <v>0</v>
      </c>
      <c r="P454" s="10">
        <f>(L454*K454+M454+N454+O454)*IF(F454="Promoção",1-Parâmetros!$B$22,1)</f>
        <v>299.8</v>
      </c>
      <c r="Q454" s="10">
        <f>Parâmetros!$B$20*K454</f>
        <v>240</v>
      </c>
      <c r="R454" s="10">
        <f>P454-Q454</f>
        <v>59.800000000000011</v>
      </c>
    </row>
    <row r="455" spans="1:18">
      <c r="A455">
        <v>454</v>
      </c>
      <c r="B455" s="8">
        <v>45302</v>
      </c>
      <c r="C455" t="s">
        <v>6</v>
      </c>
      <c r="D455" t="s">
        <v>50</v>
      </c>
      <c r="E455" t="s">
        <v>55</v>
      </c>
      <c r="F455" t="s">
        <v>42</v>
      </c>
      <c r="G455" t="s">
        <v>44</v>
      </c>
      <c r="H455" t="s">
        <v>43</v>
      </c>
      <c r="I455" t="s">
        <v>44</v>
      </c>
      <c r="J455" t="s">
        <v>45</v>
      </c>
      <c r="K455" s="9">
        <v>31</v>
      </c>
      <c r="L455" s="10">
        <f>IFERROR(VLOOKUP(C455,Parâmetros!$A$5:$D$7,IF(D455="Mensal",2,IF(D455="Trimestral",3,4)),0),0)</f>
        <v>99</v>
      </c>
      <c r="M455" s="10">
        <f>IF(G455="Sim",VLOOKUP("EA Play",Parâmetros!$A$11:$B$13,2,0),0)*K455</f>
        <v>0</v>
      </c>
      <c r="N455" s="10">
        <f>IF(H455="Sim",VLOOKUP("Minecraft Pass",Parâmetros!$A$11:$B$13,2,0),0)*K455</f>
        <v>123.69000000000001</v>
      </c>
      <c r="O455" s="10">
        <f>IF(I455="Sim",VLOOKUP("Call of Duty Pass",Parâmetros!$A$11:$B$13,2,0),0)*K455</f>
        <v>0</v>
      </c>
      <c r="P455" s="10">
        <f>(L455*K455+M455+N455+O455)*IF(F455="Promoção",1-Parâmetros!$B$22,1)</f>
        <v>3192.69</v>
      </c>
      <c r="Q455" s="10">
        <f>Parâmetros!$B$20*K455</f>
        <v>372</v>
      </c>
      <c r="R455" s="10">
        <f>P455-Q455</f>
        <v>2820.69</v>
      </c>
    </row>
    <row r="456" spans="1:18">
      <c r="A456">
        <v>455</v>
      </c>
      <c r="B456" s="8">
        <v>45598</v>
      </c>
      <c r="C456" t="s">
        <v>6</v>
      </c>
      <c r="D456" t="s">
        <v>46</v>
      </c>
      <c r="E456" t="s">
        <v>41</v>
      </c>
      <c r="F456" t="s">
        <v>42</v>
      </c>
      <c r="G456" t="s">
        <v>43</v>
      </c>
      <c r="H456" t="s">
        <v>43</v>
      </c>
      <c r="I456" t="s">
        <v>44</v>
      </c>
      <c r="J456" t="s">
        <v>45</v>
      </c>
      <c r="K456" s="9">
        <v>26</v>
      </c>
      <c r="L456" s="10">
        <f>IFERROR(VLOOKUP(C456,Parâmetros!$A$5:$D$7,IF(D456="Mensal",2,IF(D456="Trimestral",3,4)),0),0)</f>
        <v>9.99</v>
      </c>
      <c r="M456" s="10">
        <f>IF(G456="Sim",VLOOKUP("EA Play",Parâmetros!$A$11:$B$13,2,0),0)*K456</f>
        <v>129.74</v>
      </c>
      <c r="N456" s="10">
        <f>IF(H456="Sim",VLOOKUP("Minecraft Pass",Parâmetros!$A$11:$B$13,2,0),0)*K456</f>
        <v>103.74000000000001</v>
      </c>
      <c r="O456" s="10">
        <f>IF(I456="Sim",VLOOKUP("Call of Duty Pass",Parâmetros!$A$11:$B$13,2,0),0)*K456</f>
        <v>0</v>
      </c>
      <c r="P456" s="10">
        <f>(L456*K456+M456+N456+O456)*IF(F456="Promoção",1-Parâmetros!$B$22,1)</f>
        <v>493.22</v>
      </c>
      <c r="Q456" s="10">
        <f>Parâmetros!$B$20*K456</f>
        <v>312</v>
      </c>
      <c r="R456" s="10">
        <f>P456-Q456</f>
        <v>181.22000000000003</v>
      </c>
    </row>
    <row r="457" spans="1:18">
      <c r="A457">
        <v>456</v>
      </c>
      <c r="B457" s="8">
        <v>45547</v>
      </c>
      <c r="C457" t="s">
        <v>6</v>
      </c>
      <c r="D457" t="s">
        <v>40</v>
      </c>
      <c r="E457" t="s">
        <v>41</v>
      </c>
      <c r="F457" t="s">
        <v>42</v>
      </c>
      <c r="G457" t="s">
        <v>43</v>
      </c>
      <c r="H457" t="s">
        <v>44</v>
      </c>
      <c r="I457" t="s">
        <v>43</v>
      </c>
      <c r="J457" t="s">
        <v>45</v>
      </c>
      <c r="K457" s="9">
        <v>18</v>
      </c>
      <c r="L457" s="10">
        <f>IFERROR(VLOOKUP(C457,Parâmetros!$A$5:$D$7,IF(D457="Mensal",2,IF(D457="Trimestral",3,4)),0),0)</f>
        <v>27</v>
      </c>
      <c r="M457" s="10">
        <f>IF(G457="Sim",VLOOKUP("EA Play",Parâmetros!$A$11:$B$13,2,0),0)*K457</f>
        <v>89.820000000000007</v>
      </c>
      <c r="N457" s="10">
        <f>IF(H457="Sim",VLOOKUP("Minecraft Pass",Parâmetros!$A$11:$B$13,2,0),0)*K457</f>
        <v>0</v>
      </c>
      <c r="O457" s="10">
        <f>IF(I457="Sim",VLOOKUP("Call of Duty Pass",Parâmetros!$A$11:$B$13,2,0),0)*K457</f>
        <v>125.82000000000001</v>
      </c>
      <c r="P457" s="10">
        <f>(L457*K457+M457+N457+O457)*IF(F457="Promoção",1-Parâmetros!$B$22,1)</f>
        <v>701.6400000000001</v>
      </c>
      <c r="Q457" s="10">
        <f>Parâmetros!$B$20*K457</f>
        <v>216</v>
      </c>
      <c r="R457" s="10">
        <f>P457-Q457</f>
        <v>485.6400000000001</v>
      </c>
    </row>
    <row r="458" spans="1:18">
      <c r="A458">
        <v>457</v>
      </c>
      <c r="B458" s="8">
        <v>45583</v>
      </c>
      <c r="C458" t="s">
        <v>7</v>
      </c>
      <c r="D458" t="s">
        <v>40</v>
      </c>
      <c r="E458" t="s">
        <v>41</v>
      </c>
      <c r="F458" t="s">
        <v>42</v>
      </c>
      <c r="G458" t="s">
        <v>43</v>
      </c>
      <c r="H458" t="s">
        <v>43</v>
      </c>
      <c r="I458" t="s">
        <v>43</v>
      </c>
      <c r="J458" t="s">
        <v>49</v>
      </c>
      <c r="K458" s="9">
        <v>29</v>
      </c>
      <c r="L458" s="10">
        <f>IFERROR(VLOOKUP(C458,Parâmetros!$A$5:$D$7,IF(D458="Mensal",2,IF(D458="Trimestral",3,4)),0),0)</f>
        <v>40</v>
      </c>
      <c r="M458" s="10">
        <f>IF(G458="Sim",VLOOKUP("EA Play",Parâmetros!$A$11:$B$13,2,0),0)*K458</f>
        <v>144.71</v>
      </c>
      <c r="N458" s="10">
        <f>IF(H458="Sim",VLOOKUP("Minecraft Pass",Parâmetros!$A$11:$B$13,2,0),0)*K458</f>
        <v>115.71000000000001</v>
      </c>
      <c r="O458" s="10">
        <f>IF(I458="Sim",VLOOKUP("Call of Duty Pass",Parâmetros!$A$11:$B$13,2,0),0)*K458</f>
        <v>202.71</v>
      </c>
      <c r="P458" s="10">
        <f>(L458*K458+M458+N458+O458)*IF(F458="Promoção",1-Parâmetros!$B$22,1)</f>
        <v>1623.13</v>
      </c>
      <c r="Q458" s="10">
        <f>Parâmetros!$B$20*K458</f>
        <v>348</v>
      </c>
      <c r="R458" s="10">
        <f>P458-Q458</f>
        <v>1275.1300000000001</v>
      </c>
    </row>
    <row r="459" spans="1:18">
      <c r="A459">
        <v>458</v>
      </c>
      <c r="B459" s="8">
        <v>45570</v>
      </c>
      <c r="C459" t="s">
        <v>7</v>
      </c>
      <c r="D459" t="s">
        <v>46</v>
      </c>
      <c r="E459" t="s">
        <v>41</v>
      </c>
      <c r="F459" t="s">
        <v>42</v>
      </c>
      <c r="G459" t="s">
        <v>44</v>
      </c>
      <c r="H459" t="s">
        <v>43</v>
      </c>
      <c r="I459" t="s">
        <v>44</v>
      </c>
      <c r="J459" t="s">
        <v>49</v>
      </c>
      <c r="K459" s="9">
        <v>9</v>
      </c>
      <c r="L459" s="10">
        <f>IFERROR(VLOOKUP(C459,Parâmetros!$A$5:$D$7,IF(D459="Mensal",2,IF(D459="Trimestral",3,4)),0),0)</f>
        <v>14.99</v>
      </c>
      <c r="M459" s="10">
        <f>IF(G459="Sim",VLOOKUP("EA Play",Parâmetros!$A$11:$B$13,2,0),0)*K459</f>
        <v>0</v>
      </c>
      <c r="N459" s="10">
        <f>IF(H459="Sim",VLOOKUP("Minecraft Pass",Parâmetros!$A$11:$B$13,2,0),0)*K459</f>
        <v>35.910000000000004</v>
      </c>
      <c r="O459" s="10">
        <f>IF(I459="Sim",VLOOKUP("Call of Duty Pass",Parâmetros!$A$11:$B$13,2,0),0)*K459</f>
        <v>0</v>
      </c>
      <c r="P459" s="10">
        <f>(L459*K459+M459+N459+O459)*IF(F459="Promoção",1-Parâmetros!$B$22,1)</f>
        <v>170.82</v>
      </c>
      <c r="Q459" s="10">
        <f>Parâmetros!$B$20*K459</f>
        <v>108</v>
      </c>
      <c r="R459" s="10">
        <f>P459-Q459</f>
        <v>62.819999999999993</v>
      </c>
    </row>
    <row r="460" spans="1:18">
      <c r="A460">
        <v>459</v>
      </c>
      <c r="B460" s="8">
        <v>45740</v>
      </c>
      <c r="C460" t="s">
        <v>7</v>
      </c>
      <c r="D460" t="s">
        <v>46</v>
      </c>
      <c r="E460" t="s">
        <v>41</v>
      </c>
      <c r="F460" t="s">
        <v>48</v>
      </c>
      <c r="G460" t="s">
        <v>43</v>
      </c>
      <c r="H460" t="s">
        <v>43</v>
      </c>
      <c r="I460" t="s">
        <v>44</v>
      </c>
      <c r="J460" t="s">
        <v>45</v>
      </c>
      <c r="K460" s="9">
        <v>30</v>
      </c>
      <c r="L460" s="10">
        <f>IFERROR(VLOOKUP(C460,Parâmetros!$A$5:$D$7,IF(D460="Mensal",2,IF(D460="Trimestral",3,4)),0),0)</f>
        <v>14.99</v>
      </c>
      <c r="M460" s="10">
        <f>IF(G460="Sim",VLOOKUP("EA Play",Parâmetros!$A$11:$B$13,2,0),0)*K460</f>
        <v>149.70000000000002</v>
      </c>
      <c r="N460" s="10">
        <f>IF(H460="Sim",VLOOKUP("Minecraft Pass",Parâmetros!$A$11:$B$13,2,0),0)*K460</f>
        <v>119.7</v>
      </c>
      <c r="O460" s="10">
        <f>IF(I460="Sim",VLOOKUP("Call of Duty Pass",Parâmetros!$A$11:$B$13,2,0),0)*K460</f>
        <v>0</v>
      </c>
      <c r="P460" s="10">
        <f>(L460*K460+M460+N460+O460)*IF(F460="Promoção",1-Parâmetros!$B$22,1)</f>
        <v>719.1</v>
      </c>
      <c r="Q460" s="10">
        <f>Parâmetros!$B$20*K460</f>
        <v>360</v>
      </c>
      <c r="R460" s="10">
        <f>P460-Q460</f>
        <v>359.1</v>
      </c>
    </row>
    <row r="461" spans="1:18">
      <c r="A461">
        <v>460</v>
      </c>
      <c r="B461" s="8">
        <v>46005</v>
      </c>
      <c r="C461" t="s">
        <v>8</v>
      </c>
      <c r="D461" t="s">
        <v>46</v>
      </c>
      <c r="E461" t="s">
        <v>55</v>
      </c>
      <c r="F461" t="s">
        <v>54</v>
      </c>
      <c r="G461" t="s">
        <v>43</v>
      </c>
      <c r="H461" t="s">
        <v>44</v>
      </c>
      <c r="I461" t="s">
        <v>43</v>
      </c>
      <c r="J461" t="s">
        <v>49</v>
      </c>
      <c r="K461" s="9">
        <v>13</v>
      </c>
      <c r="L461" s="10">
        <f>IFERROR(VLOOKUP(C461,Parâmetros!$A$5:$D$7,IF(D461="Mensal",2,IF(D461="Trimestral",3,4)),0),0)</f>
        <v>21.99</v>
      </c>
      <c r="M461" s="10">
        <f>IF(G461="Sim",VLOOKUP("EA Play",Parâmetros!$A$11:$B$13,2,0),0)*K461</f>
        <v>64.87</v>
      </c>
      <c r="N461" s="10">
        <f>IF(H461="Sim",VLOOKUP("Minecraft Pass",Parâmetros!$A$11:$B$13,2,0),0)*K461</f>
        <v>0</v>
      </c>
      <c r="O461" s="10">
        <f>IF(I461="Sim",VLOOKUP("Call of Duty Pass",Parâmetros!$A$11:$B$13,2,0),0)*K461</f>
        <v>90.87</v>
      </c>
      <c r="P461" s="10">
        <f>(L461*K461+M461+N461+O461)*IF(F461="Promoção",1-Parâmetros!$B$22,1)</f>
        <v>397.44900000000001</v>
      </c>
      <c r="Q461" s="10">
        <f>Parâmetros!$B$20*K461</f>
        <v>156</v>
      </c>
      <c r="R461" s="10">
        <f>P461-Q461</f>
        <v>241.44900000000001</v>
      </c>
    </row>
    <row r="462" spans="1:18">
      <c r="A462">
        <v>461</v>
      </c>
      <c r="B462" s="8">
        <v>45548</v>
      </c>
      <c r="C462" t="s">
        <v>8</v>
      </c>
      <c r="D462" t="s">
        <v>50</v>
      </c>
      <c r="E462" t="s">
        <v>41</v>
      </c>
      <c r="F462" t="s">
        <v>52</v>
      </c>
      <c r="G462" t="s">
        <v>43</v>
      </c>
      <c r="H462" t="s">
        <v>44</v>
      </c>
      <c r="I462" t="s">
        <v>44</v>
      </c>
      <c r="J462" t="s">
        <v>45</v>
      </c>
      <c r="K462" s="9">
        <v>3</v>
      </c>
      <c r="L462" s="10">
        <f>IFERROR(VLOOKUP(C462,Parâmetros!$A$5:$D$7,IF(D462="Mensal",2,IF(D462="Trimestral",3,4)),0),0)</f>
        <v>219</v>
      </c>
      <c r="M462" s="10">
        <f>IF(G462="Sim",VLOOKUP("EA Play",Parâmetros!$A$11:$B$13,2,0),0)*K462</f>
        <v>14.97</v>
      </c>
      <c r="N462" s="10">
        <f>IF(H462="Sim",VLOOKUP("Minecraft Pass",Parâmetros!$A$11:$B$13,2,0),0)*K462</f>
        <v>0</v>
      </c>
      <c r="O462" s="10">
        <f>IF(I462="Sim",VLOOKUP("Call of Duty Pass",Parâmetros!$A$11:$B$13,2,0),0)*K462</f>
        <v>0</v>
      </c>
      <c r="P462" s="10">
        <f>(L462*K462+M462+N462+O462)*IF(F462="Promoção",1-Parâmetros!$B$22,1)</f>
        <v>671.97</v>
      </c>
      <c r="Q462" s="10">
        <f>Parâmetros!$B$20*K462</f>
        <v>36</v>
      </c>
      <c r="R462" s="10">
        <f>P462-Q462</f>
        <v>635.97</v>
      </c>
    </row>
    <row r="463" spans="1:18">
      <c r="A463">
        <v>462</v>
      </c>
      <c r="B463" s="8">
        <v>45495</v>
      </c>
      <c r="C463" t="s">
        <v>7</v>
      </c>
      <c r="D463" t="s">
        <v>40</v>
      </c>
      <c r="E463" t="s">
        <v>47</v>
      </c>
      <c r="F463" t="s">
        <v>54</v>
      </c>
      <c r="G463" t="s">
        <v>44</v>
      </c>
      <c r="H463" t="s">
        <v>44</v>
      </c>
      <c r="I463" t="s">
        <v>44</v>
      </c>
      <c r="J463" t="s">
        <v>49</v>
      </c>
      <c r="K463" s="9">
        <v>3</v>
      </c>
      <c r="L463" s="10">
        <f>IFERROR(VLOOKUP(C463,Parâmetros!$A$5:$D$7,IF(D463="Mensal",2,IF(D463="Trimestral",3,4)),0),0)</f>
        <v>40</v>
      </c>
      <c r="M463" s="10">
        <f>IF(G463="Sim",VLOOKUP("EA Play",Parâmetros!$A$11:$B$13,2,0),0)*K463</f>
        <v>0</v>
      </c>
      <c r="N463" s="10">
        <f>IF(H463="Sim",VLOOKUP("Minecraft Pass",Parâmetros!$A$11:$B$13,2,0),0)*K463</f>
        <v>0</v>
      </c>
      <c r="O463" s="10">
        <f>IF(I463="Sim",VLOOKUP("Call of Duty Pass",Parâmetros!$A$11:$B$13,2,0),0)*K463</f>
        <v>0</v>
      </c>
      <c r="P463" s="10">
        <f>(L463*K463+M463+N463+O463)*IF(F463="Promoção",1-Parâmetros!$B$22,1)</f>
        <v>108</v>
      </c>
      <c r="Q463" s="10">
        <f>Parâmetros!$B$20*K463</f>
        <v>36</v>
      </c>
      <c r="R463" s="10">
        <f>P463-Q463</f>
        <v>72</v>
      </c>
    </row>
    <row r="464" spans="1:18">
      <c r="A464">
        <v>463</v>
      </c>
      <c r="B464" s="8">
        <v>45854</v>
      </c>
      <c r="C464" t="s">
        <v>7</v>
      </c>
      <c r="D464" t="s">
        <v>46</v>
      </c>
      <c r="E464" t="s">
        <v>47</v>
      </c>
      <c r="F464" t="s">
        <v>42</v>
      </c>
      <c r="G464" t="s">
        <v>44</v>
      </c>
      <c r="H464" t="s">
        <v>44</v>
      </c>
      <c r="I464" t="s">
        <v>43</v>
      </c>
      <c r="J464" t="s">
        <v>49</v>
      </c>
      <c r="K464" s="9">
        <v>28</v>
      </c>
      <c r="L464" s="10">
        <f>IFERROR(VLOOKUP(C464,Parâmetros!$A$5:$D$7,IF(D464="Mensal",2,IF(D464="Trimestral",3,4)),0),0)</f>
        <v>14.99</v>
      </c>
      <c r="M464" s="10">
        <f>IF(G464="Sim",VLOOKUP("EA Play",Parâmetros!$A$11:$B$13,2,0),0)*K464</f>
        <v>0</v>
      </c>
      <c r="N464" s="10">
        <f>IF(H464="Sim",VLOOKUP("Minecraft Pass",Parâmetros!$A$11:$B$13,2,0),0)*K464</f>
        <v>0</v>
      </c>
      <c r="O464" s="10">
        <f>IF(I464="Sim",VLOOKUP("Call of Duty Pass",Parâmetros!$A$11:$B$13,2,0),0)*K464</f>
        <v>195.72</v>
      </c>
      <c r="P464" s="10">
        <f>(L464*K464+M464+N464+O464)*IF(F464="Promoção",1-Parâmetros!$B$22,1)</f>
        <v>615.44000000000005</v>
      </c>
      <c r="Q464" s="10">
        <f>Parâmetros!$B$20*K464</f>
        <v>336</v>
      </c>
      <c r="R464" s="10">
        <f>P464-Q464</f>
        <v>279.44000000000005</v>
      </c>
    </row>
    <row r="465" spans="1:18">
      <c r="A465">
        <v>464</v>
      </c>
      <c r="B465" s="8">
        <v>45624</v>
      </c>
      <c r="C465" t="s">
        <v>6</v>
      </c>
      <c r="D465" t="s">
        <v>40</v>
      </c>
      <c r="E465" t="s">
        <v>47</v>
      </c>
      <c r="F465" t="s">
        <v>42</v>
      </c>
      <c r="G465" t="s">
        <v>43</v>
      </c>
      <c r="H465" t="s">
        <v>44</v>
      </c>
      <c r="I465" t="s">
        <v>44</v>
      </c>
      <c r="J465" t="s">
        <v>45</v>
      </c>
      <c r="K465" s="9">
        <v>10</v>
      </c>
      <c r="L465" s="10">
        <f>IFERROR(VLOOKUP(C465,Parâmetros!$A$5:$D$7,IF(D465="Mensal",2,IF(D465="Trimestral",3,4)),0),0)</f>
        <v>27</v>
      </c>
      <c r="M465" s="10">
        <f>IF(G465="Sim",VLOOKUP("EA Play",Parâmetros!$A$11:$B$13,2,0),0)*K465</f>
        <v>49.900000000000006</v>
      </c>
      <c r="N465" s="10">
        <f>IF(H465="Sim",VLOOKUP("Minecraft Pass",Parâmetros!$A$11:$B$13,2,0),0)*K465</f>
        <v>0</v>
      </c>
      <c r="O465" s="10">
        <f>IF(I465="Sim",VLOOKUP("Call of Duty Pass",Parâmetros!$A$11:$B$13,2,0),0)*K465</f>
        <v>0</v>
      </c>
      <c r="P465" s="10">
        <f>(L465*K465+M465+N465+O465)*IF(F465="Promoção",1-Parâmetros!$B$22,1)</f>
        <v>319.89999999999998</v>
      </c>
      <c r="Q465" s="10">
        <f>Parâmetros!$B$20*K465</f>
        <v>120</v>
      </c>
      <c r="R465" s="10">
        <f>P465-Q465</f>
        <v>199.89999999999998</v>
      </c>
    </row>
    <row r="466" spans="1:18">
      <c r="A466">
        <v>465</v>
      </c>
      <c r="B466" s="8">
        <v>45672</v>
      </c>
      <c r="C466" t="s">
        <v>8</v>
      </c>
      <c r="D466" t="s">
        <v>46</v>
      </c>
      <c r="E466" t="s">
        <v>47</v>
      </c>
      <c r="F466" t="s">
        <v>52</v>
      </c>
      <c r="G466" t="s">
        <v>43</v>
      </c>
      <c r="H466" t="s">
        <v>44</v>
      </c>
      <c r="I466" t="s">
        <v>44</v>
      </c>
      <c r="J466" t="s">
        <v>49</v>
      </c>
      <c r="K466" s="9">
        <v>23</v>
      </c>
      <c r="L466" s="10">
        <f>IFERROR(VLOOKUP(C466,Parâmetros!$A$5:$D$7,IF(D466="Mensal",2,IF(D466="Trimestral",3,4)),0),0)</f>
        <v>21.99</v>
      </c>
      <c r="M466" s="10">
        <f>IF(G466="Sim",VLOOKUP("EA Play",Parâmetros!$A$11:$B$13,2,0),0)*K466</f>
        <v>114.77000000000001</v>
      </c>
      <c r="N466" s="10">
        <f>IF(H466="Sim",VLOOKUP("Minecraft Pass",Parâmetros!$A$11:$B$13,2,0),0)*K466</f>
        <v>0</v>
      </c>
      <c r="O466" s="10">
        <f>IF(I466="Sim",VLOOKUP("Call of Duty Pass",Parâmetros!$A$11:$B$13,2,0),0)*K466</f>
        <v>0</v>
      </c>
      <c r="P466" s="10">
        <f>(L466*K466+M466+N466+O466)*IF(F466="Promoção",1-Parâmetros!$B$22,1)</f>
        <v>620.54</v>
      </c>
      <c r="Q466" s="10">
        <f>Parâmetros!$B$20*K466</f>
        <v>276</v>
      </c>
      <c r="R466" s="10">
        <f>P466-Q466</f>
        <v>344.53999999999996</v>
      </c>
    </row>
    <row r="467" spans="1:18">
      <c r="A467">
        <v>466</v>
      </c>
      <c r="B467" s="8">
        <v>45952</v>
      </c>
      <c r="C467" t="s">
        <v>6</v>
      </c>
      <c r="D467" t="s">
        <v>40</v>
      </c>
      <c r="E467" t="s">
        <v>41</v>
      </c>
      <c r="F467" t="s">
        <v>48</v>
      </c>
      <c r="G467" t="s">
        <v>43</v>
      </c>
      <c r="H467" t="s">
        <v>44</v>
      </c>
      <c r="I467" t="s">
        <v>44</v>
      </c>
      <c r="J467" t="s">
        <v>49</v>
      </c>
      <c r="K467" s="9">
        <v>29</v>
      </c>
      <c r="L467" s="10">
        <f>IFERROR(VLOOKUP(C467,Parâmetros!$A$5:$D$7,IF(D467="Mensal",2,IF(D467="Trimestral",3,4)),0),0)</f>
        <v>27</v>
      </c>
      <c r="M467" s="10">
        <f>IF(G467="Sim",VLOOKUP("EA Play",Parâmetros!$A$11:$B$13,2,0),0)*K467</f>
        <v>144.71</v>
      </c>
      <c r="N467" s="10">
        <f>IF(H467="Sim",VLOOKUP("Minecraft Pass",Parâmetros!$A$11:$B$13,2,0),0)*K467</f>
        <v>0</v>
      </c>
      <c r="O467" s="10">
        <f>IF(I467="Sim",VLOOKUP("Call of Duty Pass",Parâmetros!$A$11:$B$13,2,0),0)*K467</f>
        <v>0</v>
      </c>
      <c r="P467" s="10">
        <f>(L467*K467+M467+N467+O467)*IF(F467="Promoção",1-Parâmetros!$B$22,1)</f>
        <v>927.71</v>
      </c>
      <c r="Q467" s="10">
        <f>Parâmetros!$B$20*K467</f>
        <v>348</v>
      </c>
      <c r="R467" s="10">
        <f>P467-Q467</f>
        <v>579.71</v>
      </c>
    </row>
    <row r="468" spans="1:18">
      <c r="A468">
        <v>467</v>
      </c>
      <c r="B468" s="8">
        <v>45489</v>
      </c>
      <c r="C468" t="s">
        <v>6</v>
      </c>
      <c r="D468" t="s">
        <v>46</v>
      </c>
      <c r="E468" t="s">
        <v>51</v>
      </c>
      <c r="F468" t="s">
        <v>42</v>
      </c>
      <c r="G468" t="s">
        <v>43</v>
      </c>
      <c r="H468" t="s">
        <v>44</v>
      </c>
      <c r="I468" t="s">
        <v>44</v>
      </c>
      <c r="J468" t="s">
        <v>49</v>
      </c>
      <c r="K468" s="9">
        <v>32</v>
      </c>
      <c r="L468" s="10">
        <f>IFERROR(VLOOKUP(C468,Parâmetros!$A$5:$D$7,IF(D468="Mensal",2,IF(D468="Trimestral",3,4)),0),0)</f>
        <v>9.99</v>
      </c>
      <c r="M468" s="10">
        <f>IF(G468="Sim",VLOOKUP("EA Play",Parâmetros!$A$11:$B$13,2,0),0)*K468</f>
        <v>159.68</v>
      </c>
      <c r="N468" s="10">
        <f>IF(H468="Sim",VLOOKUP("Minecraft Pass",Parâmetros!$A$11:$B$13,2,0),0)*K468</f>
        <v>0</v>
      </c>
      <c r="O468" s="10">
        <f>IF(I468="Sim",VLOOKUP("Call of Duty Pass",Parâmetros!$A$11:$B$13,2,0),0)*K468</f>
        <v>0</v>
      </c>
      <c r="P468" s="10">
        <f>(L468*K468+M468+N468+O468)*IF(F468="Promoção",1-Parâmetros!$B$22,1)</f>
        <v>479.36</v>
      </c>
      <c r="Q468" s="10">
        <f>Parâmetros!$B$20*K468</f>
        <v>384</v>
      </c>
      <c r="R468" s="10">
        <f>P468-Q468</f>
        <v>95.360000000000014</v>
      </c>
    </row>
    <row r="469" spans="1:18">
      <c r="A469">
        <v>468</v>
      </c>
      <c r="B469" s="8">
        <v>45486</v>
      </c>
      <c r="C469" t="s">
        <v>7</v>
      </c>
      <c r="D469" t="s">
        <v>40</v>
      </c>
      <c r="E469" t="s">
        <v>41</v>
      </c>
      <c r="F469" t="s">
        <v>48</v>
      </c>
      <c r="G469" t="s">
        <v>44</v>
      </c>
      <c r="H469" t="s">
        <v>44</v>
      </c>
      <c r="I469" t="s">
        <v>44</v>
      </c>
      <c r="J469" t="s">
        <v>49</v>
      </c>
      <c r="K469" s="9">
        <v>34</v>
      </c>
      <c r="L469" s="10">
        <f>IFERROR(VLOOKUP(C469,Parâmetros!$A$5:$D$7,IF(D469="Mensal",2,IF(D469="Trimestral",3,4)),0),0)</f>
        <v>40</v>
      </c>
      <c r="M469" s="10">
        <f>IF(G469="Sim",VLOOKUP("EA Play",Parâmetros!$A$11:$B$13,2,0),0)*K469</f>
        <v>0</v>
      </c>
      <c r="N469" s="10">
        <f>IF(H469="Sim",VLOOKUP("Minecraft Pass",Parâmetros!$A$11:$B$13,2,0),0)*K469</f>
        <v>0</v>
      </c>
      <c r="O469" s="10">
        <f>IF(I469="Sim",VLOOKUP("Call of Duty Pass",Parâmetros!$A$11:$B$13,2,0),0)*K469</f>
        <v>0</v>
      </c>
      <c r="P469" s="10">
        <f>(L469*K469+M469+N469+O469)*IF(F469="Promoção",1-Parâmetros!$B$22,1)</f>
        <v>1360</v>
      </c>
      <c r="Q469" s="10">
        <f>Parâmetros!$B$20*K469</f>
        <v>408</v>
      </c>
      <c r="R469" s="10">
        <f>P469-Q469</f>
        <v>952</v>
      </c>
    </row>
    <row r="470" spans="1:18">
      <c r="A470">
        <v>469</v>
      </c>
      <c r="B470" s="8">
        <v>45450</v>
      </c>
      <c r="C470" t="s">
        <v>7</v>
      </c>
      <c r="D470" t="s">
        <v>50</v>
      </c>
      <c r="E470" t="s">
        <v>47</v>
      </c>
      <c r="F470" t="s">
        <v>48</v>
      </c>
      <c r="G470" t="s">
        <v>44</v>
      </c>
      <c r="H470" t="s">
        <v>44</v>
      </c>
      <c r="I470" t="s">
        <v>44</v>
      </c>
      <c r="J470" t="s">
        <v>45</v>
      </c>
      <c r="K470" s="9">
        <v>24</v>
      </c>
      <c r="L470" s="10">
        <f>IFERROR(VLOOKUP(C470,Parâmetros!$A$5:$D$7,IF(D470="Mensal",2,IF(D470="Trimestral",3,4)),0),0)</f>
        <v>149</v>
      </c>
      <c r="M470" s="10">
        <f>IF(G470="Sim",VLOOKUP("EA Play",Parâmetros!$A$11:$B$13,2,0),0)*K470</f>
        <v>0</v>
      </c>
      <c r="N470" s="10">
        <f>IF(H470="Sim",VLOOKUP("Minecraft Pass",Parâmetros!$A$11:$B$13,2,0),0)*K470</f>
        <v>0</v>
      </c>
      <c r="O470" s="10">
        <f>IF(I470="Sim",VLOOKUP("Call of Duty Pass",Parâmetros!$A$11:$B$13,2,0),0)*K470</f>
        <v>0</v>
      </c>
      <c r="P470" s="10">
        <f>(L470*K470+M470+N470+O470)*IF(F470="Promoção",1-Parâmetros!$B$22,1)</f>
        <v>3576</v>
      </c>
      <c r="Q470" s="10">
        <f>Parâmetros!$B$20*K470</f>
        <v>288</v>
      </c>
      <c r="R470" s="10">
        <f>P470-Q470</f>
        <v>3288</v>
      </c>
    </row>
    <row r="471" spans="1:18">
      <c r="A471">
        <v>470</v>
      </c>
      <c r="B471" s="8">
        <v>45927</v>
      </c>
      <c r="C471" t="s">
        <v>6</v>
      </c>
      <c r="D471" t="s">
        <v>40</v>
      </c>
      <c r="E471" t="s">
        <v>51</v>
      </c>
      <c r="F471" t="s">
        <v>48</v>
      </c>
      <c r="G471" t="s">
        <v>43</v>
      </c>
      <c r="H471" t="s">
        <v>44</v>
      </c>
      <c r="I471" t="s">
        <v>44</v>
      </c>
      <c r="J471" t="s">
        <v>45</v>
      </c>
      <c r="K471" s="9">
        <v>19</v>
      </c>
      <c r="L471" s="10">
        <f>IFERROR(VLOOKUP(C471,Parâmetros!$A$5:$D$7,IF(D471="Mensal",2,IF(D471="Trimestral",3,4)),0),0)</f>
        <v>27</v>
      </c>
      <c r="M471" s="10">
        <f>IF(G471="Sim",VLOOKUP("EA Play",Parâmetros!$A$11:$B$13,2,0),0)*K471</f>
        <v>94.81</v>
      </c>
      <c r="N471" s="10">
        <f>IF(H471="Sim",VLOOKUP("Minecraft Pass",Parâmetros!$A$11:$B$13,2,0),0)*K471</f>
        <v>0</v>
      </c>
      <c r="O471" s="10">
        <f>IF(I471="Sim",VLOOKUP("Call of Duty Pass",Parâmetros!$A$11:$B$13,2,0),0)*K471</f>
        <v>0</v>
      </c>
      <c r="P471" s="10">
        <f>(L471*K471+M471+N471+O471)*IF(F471="Promoção",1-Parâmetros!$B$22,1)</f>
        <v>607.80999999999995</v>
      </c>
      <c r="Q471" s="10">
        <f>Parâmetros!$B$20*K471</f>
        <v>228</v>
      </c>
      <c r="R471" s="10">
        <f>P471-Q471</f>
        <v>379.80999999999995</v>
      </c>
    </row>
    <row r="472" spans="1:18">
      <c r="A472">
        <v>471</v>
      </c>
      <c r="B472" s="8">
        <v>45622</v>
      </c>
      <c r="C472" t="s">
        <v>7</v>
      </c>
      <c r="D472" t="s">
        <v>46</v>
      </c>
      <c r="E472" t="s">
        <v>41</v>
      </c>
      <c r="F472" t="s">
        <v>52</v>
      </c>
      <c r="G472" t="s">
        <v>43</v>
      </c>
      <c r="H472" t="s">
        <v>44</v>
      </c>
      <c r="I472" t="s">
        <v>43</v>
      </c>
      <c r="J472" t="s">
        <v>49</v>
      </c>
      <c r="K472" s="9">
        <v>7</v>
      </c>
      <c r="L472" s="10">
        <f>IFERROR(VLOOKUP(C472,Parâmetros!$A$5:$D$7,IF(D472="Mensal",2,IF(D472="Trimestral",3,4)),0),0)</f>
        <v>14.99</v>
      </c>
      <c r="M472" s="10">
        <f>IF(G472="Sim",VLOOKUP("EA Play",Parâmetros!$A$11:$B$13,2,0),0)*K472</f>
        <v>34.93</v>
      </c>
      <c r="N472" s="10">
        <f>IF(H472="Sim",VLOOKUP("Minecraft Pass",Parâmetros!$A$11:$B$13,2,0),0)*K472</f>
        <v>0</v>
      </c>
      <c r="O472" s="10">
        <f>IF(I472="Sim",VLOOKUP("Call of Duty Pass",Parâmetros!$A$11:$B$13,2,0),0)*K472</f>
        <v>48.93</v>
      </c>
      <c r="P472" s="10">
        <f>(L472*K472+M472+N472+O472)*IF(F472="Promoção",1-Parâmetros!$B$22,1)</f>
        <v>188.79000000000002</v>
      </c>
      <c r="Q472" s="10">
        <f>Parâmetros!$B$20*K472</f>
        <v>84</v>
      </c>
      <c r="R472" s="10">
        <f>P472-Q472</f>
        <v>104.79000000000002</v>
      </c>
    </row>
    <row r="473" spans="1:18">
      <c r="A473">
        <v>472</v>
      </c>
      <c r="B473" s="8">
        <v>45789</v>
      </c>
      <c r="C473" t="s">
        <v>6</v>
      </c>
      <c r="D473" t="s">
        <v>46</v>
      </c>
      <c r="E473" t="s">
        <v>51</v>
      </c>
      <c r="F473" t="s">
        <v>42</v>
      </c>
      <c r="G473" t="s">
        <v>44</v>
      </c>
      <c r="H473" t="s">
        <v>44</v>
      </c>
      <c r="I473" t="s">
        <v>44</v>
      </c>
      <c r="J473" t="s">
        <v>49</v>
      </c>
      <c r="K473" s="9">
        <v>15</v>
      </c>
      <c r="L473" s="10">
        <f>IFERROR(VLOOKUP(C473,Parâmetros!$A$5:$D$7,IF(D473="Mensal",2,IF(D473="Trimestral",3,4)),0),0)</f>
        <v>9.99</v>
      </c>
      <c r="M473" s="10">
        <f>IF(G473="Sim",VLOOKUP("EA Play",Parâmetros!$A$11:$B$13,2,0),0)*K473</f>
        <v>0</v>
      </c>
      <c r="N473" s="10">
        <f>IF(H473="Sim",VLOOKUP("Minecraft Pass",Parâmetros!$A$11:$B$13,2,0),0)*K473</f>
        <v>0</v>
      </c>
      <c r="O473" s="10">
        <f>IF(I473="Sim",VLOOKUP("Call of Duty Pass",Parâmetros!$A$11:$B$13,2,0),0)*K473</f>
        <v>0</v>
      </c>
      <c r="P473" s="10">
        <f>(L473*K473+M473+N473+O473)*IF(F473="Promoção",1-Parâmetros!$B$22,1)</f>
        <v>149.85</v>
      </c>
      <c r="Q473" s="10">
        <f>Parâmetros!$B$20*K473</f>
        <v>180</v>
      </c>
      <c r="R473" s="10">
        <f>P473-Q473</f>
        <v>-30.150000000000006</v>
      </c>
    </row>
    <row r="474" spans="1:18">
      <c r="A474">
        <v>473</v>
      </c>
      <c r="B474" s="8">
        <v>45912</v>
      </c>
      <c r="C474" t="s">
        <v>7</v>
      </c>
      <c r="D474" t="s">
        <v>46</v>
      </c>
      <c r="E474" t="s">
        <v>55</v>
      </c>
      <c r="F474" t="s">
        <v>52</v>
      </c>
      <c r="G474" t="s">
        <v>44</v>
      </c>
      <c r="H474" t="s">
        <v>44</v>
      </c>
      <c r="I474" t="s">
        <v>44</v>
      </c>
      <c r="J474" t="s">
        <v>45</v>
      </c>
      <c r="K474" s="9">
        <v>24</v>
      </c>
      <c r="L474" s="10">
        <f>IFERROR(VLOOKUP(C474,Parâmetros!$A$5:$D$7,IF(D474="Mensal",2,IF(D474="Trimestral",3,4)),0),0)</f>
        <v>14.99</v>
      </c>
      <c r="M474" s="10">
        <f>IF(G474="Sim",VLOOKUP("EA Play",Parâmetros!$A$11:$B$13,2,0),0)*K474</f>
        <v>0</v>
      </c>
      <c r="N474" s="10">
        <f>IF(H474="Sim",VLOOKUP("Minecraft Pass",Parâmetros!$A$11:$B$13,2,0),0)*K474</f>
        <v>0</v>
      </c>
      <c r="O474" s="10">
        <f>IF(I474="Sim",VLOOKUP("Call of Duty Pass",Parâmetros!$A$11:$B$13,2,0),0)*K474</f>
        <v>0</v>
      </c>
      <c r="P474" s="10">
        <f>(L474*K474+M474+N474+O474)*IF(F474="Promoção",1-Parâmetros!$B$22,1)</f>
        <v>359.76</v>
      </c>
      <c r="Q474" s="10">
        <f>Parâmetros!$B$20*K474</f>
        <v>288</v>
      </c>
      <c r="R474" s="10">
        <f>P474-Q474</f>
        <v>71.759999999999991</v>
      </c>
    </row>
    <row r="475" spans="1:18">
      <c r="A475">
        <v>474</v>
      </c>
      <c r="B475" s="8">
        <v>45863</v>
      </c>
      <c r="C475" t="s">
        <v>7</v>
      </c>
      <c r="D475" t="s">
        <v>50</v>
      </c>
      <c r="E475" t="s">
        <v>51</v>
      </c>
      <c r="F475" t="s">
        <v>52</v>
      </c>
      <c r="G475" t="s">
        <v>43</v>
      </c>
      <c r="H475" t="s">
        <v>44</v>
      </c>
      <c r="I475" t="s">
        <v>44</v>
      </c>
      <c r="J475" t="s">
        <v>45</v>
      </c>
      <c r="K475" s="9">
        <v>20</v>
      </c>
      <c r="L475" s="10">
        <f>IFERROR(VLOOKUP(C475,Parâmetros!$A$5:$D$7,IF(D475="Mensal",2,IF(D475="Trimestral",3,4)),0),0)</f>
        <v>149</v>
      </c>
      <c r="M475" s="10">
        <f>IF(G475="Sim",VLOOKUP("EA Play",Parâmetros!$A$11:$B$13,2,0),0)*K475</f>
        <v>99.800000000000011</v>
      </c>
      <c r="N475" s="10">
        <f>IF(H475="Sim",VLOOKUP("Minecraft Pass",Parâmetros!$A$11:$B$13,2,0),0)*K475</f>
        <v>0</v>
      </c>
      <c r="O475" s="10">
        <f>IF(I475="Sim",VLOOKUP("Call of Duty Pass",Parâmetros!$A$11:$B$13,2,0),0)*K475</f>
        <v>0</v>
      </c>
      <c r="P475" s="10">
        <f>(L475*K475+M475+N475+O475)*IF(F475="Promoção",1-Parâmetros!$B$22,1)</f>
        <v>3079.8</v>
      </c>
      <c r="Q475" s="10">
        <f>Parâmetros!$B$20*K475</f>
        <v>240</v>
      </c>
      <c r="R475" s="10">
        <f>P475-Q475</f>
        <v>2839.8</v>
      </c>
    </row>
    <row r="476" spans="1:18">
      <c r="A476">
        <v>475</v>
      </c>
      <c r="B476" s="8">
        <v>45371</v>
      </c>
      <c r="C476" t="s">
        <v>8</v>
      </c>
      <c r="D476" t="s">
        <v>50</v>
      </c>
      <c r="E476" t="s">
        <v>41</v>
      </c>
      <c r="F476" t="s">
        <v>52</v>
      </c>
      <c r="G476" t="s">
        <v>44</v>
      </c>
      <c r="H476" t="s">
        <v>43</v>
      </c>
      <c r="I476" t="s">
        <v>44</v>
      </c>
      <c r="J476" t="s">
        <v>49</v>
      </c>
      <c r="K476" s="9">
        <v>12</v>
      </c>
      <c r="L476" s="10">
        <f>IFERROR(VLOOKUP(C476,Parâmetros!$A$5:$D$7,IF(D476="Mensal",2,IF(D476="Trimestral",3,4)),0),0)</f>
        <v>219</v>
      </c>
      <c r="M476" s="10">
        <f>IF(G476="Sim",VLOOKUP("EA Play",Parâmetros!$A$11:$B$13,2,0),0)*K476</f>
        <v>0</v>
      </c>
      <c r="N476" s="10">
        <f>IF(H476="Sim",VLOOKUP("Minecraft Pass",Parâmetros!$A$11:$B$13,2,0),0)*K476</f>
        <v>47.88</v>
      </c>
      <c r="O476" s="10">
        <f>IF(I476="Sim",VLOOKUP("Call of Duty Pass",Parâmetros!$A$11:$B$13,2,0),0)*K476</f>
        <v>0</v>
      </c>
      <c r="P476" s="10">
        <f>(L476*K476+M476+N476+O476)*IF(F476="Promoção",1-Parâmetros!$B$22,1)</f>
        <v>2675.88</v>
      </c>
      <c r="Q476" s="10">
        <f>Parâmetros!$B$20*K476</f>
        <v>144</v>
      </c>
      <c r="R476" s="10">
        <f>P476-Q476</f>
        <v>2531.88</v>
      </c>
    </row>
    <row r="477" spans="1:18">
      <c r="A477">
        <v>476</v>
      </c>
      <c r="B477" s="8">
        <v>45863</v>
      </c>
      <c r="C477" t="s">
        <v>7</v>
      </c>
      <c r="D477" t="s">
        <v>46</v>
      </c>
      <c r="E477" t="s">
        <v>41</v>
      </c>
      <c r="F477" t="s">
        <v>52</v>
      </c>
      <c r="G477" t="s">
        <v>43</v>
      </c>
      <c r="H477" t="s">
        <v>44</v>
      </c>
      <c r="I477" t="s">
        <v>44</v>
      </c>
      <c r="J477" t="s">
        <v>45</v>
      </c>
      <c r="K477" s="9">
        <v>11</v>
      </c>
      <c r="L477" s="10">
        <f>IFERROR(VLOOKUP(C477,Parâmetros!$A$5:$D$7,IF(D477="Mensal",2,IF(D477="Trimestral",3,4)),0),0)</f>
        <v>14.99</v>
      </c>
      <c r="M477" s="10">
        <f>IF(G477="Sim",VLOOKUP("EA Play",Parâmetros!$A$11:$B$13,2,0),0)*K477</f>
        <v>54.89</v>
      </c>
      <c r="N477" s="10">
        <f>IF(H477="Sim",VLOOKUP("Minecraft Pass",Parâmetros!$A$11:$B$13,2,0),0)*K477</f>
        <v>0</v>
      </c>
      <c r="O477" s="10">
        <f>IF(I477="Sim",VLOOKUP("Call of Duty Pass",Parâmetros!$A$11:$B$13,2,0),0)*K477</f>
        <v>0</v>
      </c>
      <c r="P477" s="10">
        <f>(L477*K477+M477+N477+O477)*IF(F477="Promoção",1-Parâmetros!$B$22,1)</f>
        <v>219.78000000000003</v>
      </c>
      <c r="Q477" s="10">
        <f>Parâmetros!$B$20*K477</f>
        <v>132</v>
      </c>
      <c r="R477" s="10">
        <f>P477-Q477</f>
        <v>87.78000000000003</v>
      </c>
    </row>
    <row r="478" spans="1:18">
      <c r="A478">
        <v>477</v>
      </c>
      <c r="B478" s="8">
        <v>45476</v>
      </c>
      <c r="C478" t="s">
        <v>7</v>
      </c>
      <c r="D478" t="s">
        <v>40</v>
      </c>
      <c r="E478" t="s">
        <v>51</v>
      </c>
      <c r="F478" t="s">
        <v>48</v>
      </c>
      <c r="G478" t="s">
        <v>44</v>
      </c>
      <c r="H478" t="s">
        <v>44</v>
      </c>
      <c r="I478" t="s">
        <v>44</v>
      </c>
      <c r="J478" t="s">
        <v>45</v>
      </c>
      <c r="K478" s="9">
        <v>21</v>
      </c>
      <c r="L478" s="10">
        <f>IFERROR(VLOOKUP(C478,Parâmetros!$A$5:$D$7,IF(D478="Mensal",2,IF(D478="Trimestral",3,4)),0),0)</f>
        <v>40</v>
      </c>
      <c r="M478" s="10">
        <f>IF(G478="Sim",VLOOKUP("EA Play",Parâmetros!$A$11:$B$13,2,0),0)*K478</f>
        <v>0</v>
      </c>
      <c r="N478" s="10">
        <f>IF(H478="Sim",VLOOKUP("Minecraft Pass",Parâmetros!$A$11:$B$13,2,0),0)*K478</f>
        <v>0</v>
      </c>
      <c r="O478" s="10">
        <f>IF(I478="Sim",VLOOKUP("Call of Duty Pass",Parâmetros!$A$11:$B$13,2,0),0)*K478</f>
        <v>0</v>
      </c>
      <c r="P478" s="10">
        <f>(L478*K478+M478+N478+O478)*IF(F478="Promoção",1-Parâmetros!$B$22,1)</f>
        <v>840</v>
      </c>
      <c r="Q478" s="10">
        <f>Parâmetros!$B$20*K478</f>
        <v>252</v>
      </c>
      <c r="R478" s="10">
        <f>P478-Q478</f>
        <v>588</v>
      </c>
    </row>
    <row r="479" spans="1:18">
      <c r="A479">
        <v>478</v>
      </c>
      <c r="B479" s="8">
        <v>45672</v>
      </c>
      <c r="C479" t="s">
        <v>7</v>
      </c>
      <c r="D479" t="s">
        <v>40</v>
      </c>
      <c r="E479" t="s">
        <v>51</v>
      </c>
      <c r="F479" t="s">
        <v>42</v>
      </c>
      <c r="G479" t="s">
        <v>43</v>
      </c>
      <c r="H479" t="s">
        <v>44</v>
      </c>
      <c r="I479" t="s">
        <v>44</v>
      </c>
      <c r="J479" t="s">
        <v>45</v>
      </c>
      <c r="K479" s="9">
        <v>17</v>
      </c>
      <c r="L479" s="10">
        <f>IFERROR(VLOOKUP(C479,Parâmetros!$A$5:$D$7,IF(D479="Mensal",2,IF(D479="Trimestral",3,4)),0),0)</f>
        <v>40</v>
      </c>
      <c r="M479" s="10">
        <f>IF(G479="Sim",VLOOKUP("EA Play",Parâmetros!$A$11:$B$13,2,0),0)*K479</f>
        <v>84.83</v>
      </c>
      <c r="N479" s="10">
        <f>IF(H479="Sim",VLOOKUP("Minecraft Pass",Parâmetros!$A$11:$B$13,2,0),0)*K479</f>
        <v>0</v>
      </c>
      <c r="O479" s="10">
        <f>IF(I479="Sim",VLOOKUP("Call of Duty Pass",Parâmetros!$A$11:$B$13,2,0),0)*K479</f>
        <v>0</v>
      </c>
      <c r="P479" s="10">
        <f>(L479*K479+M479+N479+O479)*IF(F479="Promoção",1-Parâmetros!$B$22,1)</f>
        <v>764.83</v>
      </c>
      <c r="Q479" s="10">
        <f>Parâmetros!$B$20*K479</f>
        <v>204</v>
      </c>
      <c r="R479" s="10">
        <f>P479-Q479</f>
        <v>560.83000000000004</v>
      </c>
    </row>
    <row r="480" spans="1:18">
      <c r="A480">
        <v>479</v>
      </c>
      <c r="B480" s="8">
        <v>45660</v>
      </c>
      <c r="C480" t="s">
        <v>8</v>
      </c>
      <c r="D480" t="s">
        <v>46</v>
      </c>
      <c r="E480" t="s">
        <v>41</v>
      </c>
      <c r="F480" t="s">
        <v>52</v>
      </c>
      <c r="G480" t="s">
        <v>44</v>
      </c>
      <c r="H480" t="s">
        <v>44</v>
      </c>
      <c r="I480" t="s">
        <v>44</v>
      </c>
      <c r="J480" t="s">
        <v>45</v>
      </c>
      <c r="K480" s="9">
        <v>20</v>
      </c>
      <c r="L480" s="10">
        <f>IFERROR(VLOOKUP(C480,Parâmetros!$A$5:$D$7,IF(D480="Mensal",2,IF(D480="Trimestral",3,4)),0),0)</f>
        <v>21.99</v>
      </c>
      <c r="M480" s="10">
        <f>IF(G480="Sim",VLOOKUP("EA Play",Parâmetros!$A$11:$B$13,2,0),0)*K480</f>
        <v>0</v>
      </c>
      <c r="N480" s="10">
        <f>IF(H480="Sim",VLOOKUP("Minecraft Pass",Parâmetros!$A$11:$B$13,2,0),0)*K480</f>
        <v>0</v>
      </c>
      <c r="O480" s="10">
        <f>IF(I480="Sim",VLOOKUP("Call of Duty Pass",Parâmetros!$A$11:$B$13,2,0),0)*K480</f>
        <v>0</v>
      </c>
      <c r="P480" s="10">
        <f>(L480*K480+M480+N480+O480)*IF(F480="Promoção",1-Parâmetros!$B$22,1)</f>
        <v>439.79999999999995</v>
      </c>
      <c r="Q480" s="10">
        <f>Parâmetros!$B$20*K480</f>
        <v>240</v>
      </c>
      <c r="R480" s="10">
        <f>P480-Q480</f>
        <v>199.79999999999995</v>
      </c>
    </row>
    <row r="481" spans="1:18">
      <c r="A481">
        <v>480</v>
      </c>
      <c r="B481" s="8">
        <v>45298</v>
      </c>
      <c r="C481" t="s">
        <v>6</v>
      </c>
      <c r="D481" t="s">
        <v>46</v>
      </c>
      <c r="E481" t="s">
        <v>55</v>
      </c>
      <c r="F481" t="s">
        <v>42</v>
      </c>
      <c r="G481" t="s">
        <v>44</v>
      </c>
      <c r="H481" t="s">
        <v>44</v>
      </c>
      <c r="I481" t="s">
        <v>43</v>
      </c>
      <c r="J481" t="s">
        <v>45</v>
      </c>
      <c r="K481" s="9">
        <v>10</v>
      </c>
      <c r="L481" s="10">
        <f>IFERROR(VLOOKUP(C481,Parâmetros!$A$5:$D$7,IF(D481="Mensal",2,IF(D481="Trimestral",3,4)),0),0)</f>
        <v>9.99</v>
      </c>
      <c r="M481" s="10">
        <f>IF(G481="Sim",VLOOKUP("EA Play",Parâmetros!$A$11:$B$13,2,0),0)*K481</f>
        <v>0</v>
      </c>
      <c r="N481" s="10">
        <f>IF(H481="Sim",VLOOKUP("Minecraft Pass",Parâmetros!$A$11:$B$13,2,0),0)*K481</f>
        <v>0</v>
      </c>
      <c r="O481" s="10">
        <f>IF(I481="Sim",VLOOKUP("Call of Duty Pass",Parâmetros!$A$11:$B$13,2,0),0)*K481</f>
        <v>69.900000000000006</v>
      </c>
      <c r="P481" s="10">
        <f>(L481*K481+M481+N481+O481)*IF(F481="Promoção",1-Parâmetros!$B$22,1)</f>
        <v>169.8</v>
      </c>
      <c r="Q481" s="10">
        <f>Parâmetros!$B$20*K481</f>
        <v>120</v>
      </c>
      <c r="R481" s="10">
        <f>P481-Q481</f>
        <v>49.800000000000011</v>
      </c>
    </row>
    <row r="482" spans="1:18">
      <c r="A482">
        <v>481</v>
      </c>
      <c r="B482" s="8">
        <v>45388</v>
      </c>
      <c r="C482" t="s">
        <v>6</v>
      </c>
      <c r="D482" t="s">
        <v>46</v>
      </c>
      <c r="E482" t="s">
        <v>41</v>
      </c>
      <c r="F482" t="s">
        <v>42</v>
      </c>
      <c r="G482" t="s">
        <v>44</v>
      </c>
      <c r="H482" t="s">
        <v>43</v>
      </c>
      <c r="I482" t="s">
        <v>44</v>
      </c>
      <c r="J482" t="s">
        <v>49</v>
      </c>
      <c r="K482" s="9">
        <v>26</v>
      </c>
      <c r="L482" s="10">
        <f>IFERROR(VLOOKUP(C482,Parâmetros!$A$5:$D$7,IF(D482="Mensal",2,IF(D482="Trimestral",3,4)),0),0)</f>
        <v>9.99</v>
      </c>
      <c r="M482" s="10">
        <f>IF(G482="Sim",VLOOKUP("EA Play",Parâmetros!$A$11:$B$13,2,0),0)*K482</f>
        <v>0</v>
      </c>
      <c r="N482" s="10">
        <f>IF(H482="Sim",VLOOKUP("Minecraft Pass",Parâmetros!$A$11:$B$13,2,0),0)*K482</f>
        <v>103.74000000000001</v>
      </c>
      <c r="O482" s="10">
        <f>IF(I482="Sim",VLOOKUP("Call of Duty Pass",Parâmetros!$A$11:$B$13,2,0),0)*K482</f>
        <v>0</v>
      </c>
      <c r="P482" s="10">
        <f>(L482*K482+M482+N482+O482)*IF(F482="Promoção",1-Parâmetros!$B$22,1)</f>
        <v>363.48</v>
      </c>
      <c r="Q482" s="10">
        <f>Parâmetros!$B$20*K482</f>
        <v>312</v>
      </c>
      <c r="R482" s="10">
        <f>P482-Q482</f>
        <v>51.480000000000018</v>
      </c>
    </row>
    <row r="483" spans="1:18">
      <c r="A483">
        <v>482</v>
      </c>
      <c r="B483" s="8">
        <v>45874</v>
      </c>
      <c r="C483" t="s">
        <v>8</v>
      </c>
      <c r="D483" t="s">
        <v>40</v>
      </c>
      <c r="E483" t="s">
        <v>51</v>
      </c>
      <c r="F483" t="s">
        <v>52</v>
      </c>
      <c r="G483" t="s">
        <v>43</v>
      </c>
      <c r="H483" t="s">
        <v>44</v>
      </c>
      <c r="I483" t="s">
        <v>44</v>
      </c>
      <c r="J483" t="s">
        <v>45</v>
      </c>
      <c r="K483" s="9">
        <v>7</v>
      </c>
      <c r="L483" s="10">
        <f>IFERROR(VLOOKUP(C483,Parâmetros!$A$5:$D$7,IF(D483="Mensal",2,IF(D483="Trimestral",3,4)),0),0)</f>
        <v>59</v>
      </c>
      <c r="M483" s="10">
        <f>IF(G483="Sim",VLOOKUP("EA Play",Parâmetros!$A$11:$B$13,2,0),0)*K483</f>
        <v>34.93</v>
      </c>
      <c r="N483" s="10">
        <f>IF(H483="Sim",VLOOKUP("Minecraft Pass",Parâmetros!$A$11:$B$13,2,0),0)*K483</f>
        <v>0</v>
      </c>
      <c r="O483" s="10">
        <f>IF(I483="Sim",VLOOKUP("Call of Duty Pass",Parâmetros!$A$11:$B$13,2,0),0)*K483</f>
        <v>0</v>
      </c>
      <c r="P483" s="10">
        <f>(L483*K483+M483+N483+O483)*IF(F483="Promoção",1-Parâmetros!$B$22,1)</f>
        <v>447.93</v>
      </c>
      <c r="Q483" s="10">
        <f>Parâmetros!$B$20*K483</f>
        <v>84</v>
      </c>
      <c r="R483" s="10">
        <f>P483-Q483</f>
        <v>363.93</v>
      </c>
    </row>
    <row r="484" spans="1:18">
      <c r="A484">
        <v>483</v>
      </c>
      <c r="B484" s="8">
        <v>45901</v>
      </c>
      <c r="C484" t="s">
        <v>7</v>
      </c>
      <c r="D484" t="s">
        <v>46</v>
      </c>
      <c r="E484" t="s">
        <v>51</v>
      </c>
      <c r="F484" t="s">
        <v>42</v>
      </c>
      <c r="G484" t="s">
        <v>44</v>
      </c>
      <c r="H484" t="s">
        <v>44</v>
      </c>
      <c r="I484" t="s">
        <v>44</v>
      </c>
      <c r="J484" t="s">
        <v>45</v>
      </c>
      <c r="K484" s="9">
        <v>28</v>
      </c>
      <c r="L484" s="10">
        <f>IFERROR(VLOOKUP(C484,Parâmetros!$A$5:$D$7,IF(D484="Mensal",2,IF(D484="Trimestral",3,4)),0),0)</f>
        <v>14.99</v>
      </c>
      <c r="M484" s="10">
        <f>IF(G484="Sim",VLOOKUP("EA Play",Parâmetros!$A$11:$B$13,2,0),0)*K484</f>
        <v>0</v>
      </c>
      <c r="N484" s="10">
        <f>IF(H484="Sim",VLOOKUP("Minecraft Pass",Parâmetros!$A$11:$B$13,2,0),0)*K484</f>
        <v>0</v>
      </c>
      <c r="O484" s="10">
        <f>IF(I484="Sim",VLOOKUP("Call of Duty Pass",Parâmetros!$A$11:$B$13,2,0),0)*K484</f>
        <v>0</v>
      </c>
      <c r="P484" s="10">
        <f>(L484*K484+M484+N484+O484)*IF(F484="Promoção",1-Parâmetros!$B$22,1)</f>
        <v>419.72</v>
      </c>
      <c r="Q484" s="10">
        <f>Parâmetros!$B$20*K484</f>
        <v>336</v>
      </c>
      <c r="R484" s="10">
        <f>P484-Q484</f>
        <v>83.720000000000027</v>
      </c>
    </row>
    <row r="485" spans="1:18">
      <c r="A485">
        <v>484</v>
      </c>
      <c r="B485" s="8">
        <v>45718</v>
      </c>
      <c r="C485" t="s">
        <v>8</v>
      </c>
      <c r="D485" t="s">
        <v>46</v>
      </c>
      <c r="E485" t="s">
        <v>51</v>
      </c>
      <c r="F485" t="s">
        <v>52</v>
      </c>
      <c r="G485" t="s">
        <v>44</v>
      </c>
      <c r="H485" t="s">
        <v>44</v>
      </c>
      <c r="I485" t="s">
        <v>44</v>
      </c>
      <c r="J485" t="s">
        <v>45</v>
      </c>
      <c r="K485" s="9">
        <v>4</v>
      </c>
      <c r="L485" s="10">
        <f>IFERROR(VLOOKUP(C485,Parâmetros!$A$5:$D$7,IF(D485="Mensal",2,IF(D485="Trimestral",3,4)),0),0)</f>
        <v>21.99</v>
      </c>
      <c r="M485" s="10">
        <f>IF(G485="Sim",VLOOKUP("EA Play",Parâmetros!$A$11:$B$13,2,0),0)*K485</f>
        <v>0</v>
      </c>
      <c r="N485" s="10">
        <f>IF(H485="Sim",VLOOKUP("Minecraft Pass",Parâmetros!$A$11:$B$13,2,0),0)*K485</f>
        <v>0</v>
      </c>
      <c r="O485" s="10">
        <f>IF(I485="Sim",VLOOKUP("Call of Duty Pass",Parâmetros!$A$11:$B$13,2,0),0)*K485</f>
        <v>0</v>
      </c>
      <c r="P485" s="10">
        <f>(L485*K485+M485+N485+O485)*IF(F485="Promoção",1-Parâmetros!$B$22,1)</f>
        <v>87.96</v>
      </c>
      <c r="Q485" s="10">
        <f>Parâmetros!$B$20*K485</f>
        <v>48</v>
      </c>
      <c r="R485" s="10">
        <f>P485-Q485</f>
        <v>39.959999999999994</v>
      </c>
    </row>
    <row r="486" spans="1:18">
      <c r="A486">
        <v>485</v>
      </c>
      <c r="B486" s="8">
        <v>45604</v>
      </c>
      <c r="C486" t="s">
        <v>7</v>
      </c>
      <c r="D486" t="s">
        <v>46</v>
      </c>
      <c r="E486" t="s">
        <v>47</v>
      </c>
      <c r="F486" t="s">
        <v>42</v>
      </c>
      <c r="G486" t="s">
        <v>44</v>
      </c>
      <c r="H486" t="s">
        <v>43</v>
      </c>
      <c r="I486" t="s">
        <v>44</v>
      </c>
      <c r="J486" t="s">
        <v>45</v>
      </c>
      <c r="K486" s="9">
        <v>29</v>
      </c>
      <c r="L486" s="10">
        <f>IFERROR(VLOOKUP(C486,Parâmetros!$A$5:$D$7,IF(D486="Mensal",2,IF(D486="Trimestral",3,4)),0),0)</f>
        <v>14.99</v>
      </c>
      <c r="M486" s="10">
        <f>IF(G486="Sim",VLOOKUP("EA Play",Parâmetros!$A$11:$B$13,2,0),0)*K486</f>
        <v>0</v>
      </c>
      <c r="N486" s="10">
        <f>IF(H486="Sim",VLOOKUP("Minecraft Pass",Parâmetros!$A$11:$B$13,2,0),0)*K486</f>
        <v>115.71000000000001</v>
      </c>
      <c r="O486" s="10">
        <f>IF(I486="Sim",VLOOKUP("Call of Duty Pass",Parâmetros!$A$11:$B$13,2,0),0)*K486</f>
        <v>0</v>
      </c>
      <c r="P486" s="10">
        <f>(L486*K486+M486+N486+O486)*IF(F486="Promoção",1-Parâmetros!$B$22,1)</f>
        <v>550.41999999999996</v>
      </c>
      <c r="Q486" s="10">
        <f>Parâmetros!$B$20*K486</f>
        <v>348</v>
      </c>
      <c r="R486" s="10">
        <f>P486-Q486</f>
        <v>202.41999999999996</v>
      </c>
    </row>
    <row r="487" spans="1:18">
      <c r="A487">
        <v>486</v>
      </c>
      <c r="B487" s="8">
        <v>45901</v>
      </c>
      <c r="C487" t="s">
        <v>7</v>
      </c>
      <c r="D487" t="s">
        <v>46</v>
      </c>
      <c r="E487" t="s">
        <v>47</v>
      </c>
      <c r="F487" t="s">
        <v>52</v>
      </c>
      <c r="G487" t="s">
        <v>43</v>
      </c>
      <c r="H487" t="s">
        <v>43</v>
      </c>
      <c r="I487" t="s">
        <v>44</v>
      </c>
      <c r="J487" t="s">
        <v>45</v>
      </c>
      <c r="K487" s="9">
        <v>26</v>
      </c>
      <c r="L487" s="10">
        <f>IFERROR(VLOOKUP(C487,Parâmetros!$A$5:$D$7,IF(D487="Mensal",2,IF(D487="Trimestral",3,4)),0),0)</f>
        <v>14.99</v>
      </c>
      <c r="M487" s="10">
        <f>IF(G487="Sim",VLOOKUP("EA Play",Parâmetros!$A$11:$B$13,2,0),0)*K487</f>
        <v>129.74</v>
      </c>
      <c r="N487" s="10">
        <f>IF(H487="Sim",VLOOKUP("Minecraft Pass",Parâmetros!$A$11:$B$13,2,0),0)*K487</f>
        <v>103.74000000000001</v>
      </c>
      <c r="O487" s="10">
        <f>IF(I487="Sim",VLOOKUP("Call of Duty Pass",Parâmetros!$A$11:$B$13,2,0),0)*K487</f>
        <v>0</v>
      </c>
      <c r="P487" s="10">
        <f>(L487*K487+M487+N487+O487)*IF(F487="Promoção",1-Parâmetros!$B$22,1)</f>
        <v>623.22</v>
      </c>
      <c r="Q487" s="10">
        <f>Parâmetros!$B$20*K487</f>
        <v>312</v>
      </c>
      <c r="R487" s="10">
        <f>P487-Q487</f>
        <v>311.22000000000003</v>
      </c>
    </row>
    <row r="488" spans="1:18">
      <c r="A488">
        <v>487</v>
      </c>
      <c r="B488" s="8">
        <v>45560</v>
      </c>
      <c r="C488" t="s">
        <v>6</v>
      </c>
      <c r="D488" t="s">
        <v>40</v>
      </c>
      <c r="E488" t="s">
        <v>51</v>
      </c>
      <c r="F488" t="s">
        <v>42</v>
      </c>
      <c r="G488" t="s">
        <v>43</v>
      </c>
      <c r="H488" t="s">
        <v>44</v>
      </c>
      <c r="I488" t="s">
        <v>44</v>
      </c>
      <c r="J488" t="s">
        <v>45</v>
      </c>
      <c r="K488" s="9">
        <v>13</v>
      </c>
      <c r="L488" s="10">
        <f>IFERROR(VLOOKUP(C488,Parâmetros!$A$5:$D$7,IF(D488="Mensal",2,IF(D488="Trimestral",3,4)),0),0)</f>
        <v>27</v>
      </c>
      <c r="M488" s="10">
        <f>IF(G488="Sim",VLOOKUP("EA Play",Parâmetros!$A$11:$B$13,2,0),0)*K488</f>
        <v>64.87</v>
      </c>
      <c r="N488" s="10">
        <f>IF(H488="Sim",VLOOKUP("Minecraft Pass",Parâmetros!$A$11:$B$13,2,0),0)*K488</f>
        <v>0</v>
      </c>
      <c r="O488" s="10">
        <f>IF(I488="Sim",VLOOKUP("Call of Duty Pass",Parâmetros!$A$11:$B$13,2,0),0)*K488</f>
        <v>0</v>
      </c>
      <c r="P488" s="10">
        <f>(L488*K488+M488+N488+O488)*IF(F488="Promoção",1-Parâmetros!$B$22,1)</f>
        <v>415.87</v>
      </c>
      <c r="Q488" s="10">
        <f>Parâmetros!$B$20*K488</f>
        <v>156</v>
      </c>
      <c r="R488" s="10">
        <f>P488-Q488</f>
        <v>259.87</v>
      </c>
    </row>
    <row r="489" spans="1:18">
      <c r="A489">
        <v>488</v>
      </c>
      <c r="B489" s="8">
        <v>45866</v>
      </c>
      <c r="C489" t="s">
        <v>7</v>
      </c>
      <c r="D489" t="s">
        <v>40</v>
      </c>
      <c r="E489" t="s">
        <v>41</v>
      </c>
      <c r="F489" t="s">
        <v>42</v>
      </c>
      <c r="G489" t="s">
        <v>44</v>
      </c>
      <c r="H489" t="s">
        <v>43</v>
      </c>
      <c r="I489" t="s">
        <v>44</v>
      </c>
      <c r="J489" t="s">
        <v>49</v>
      </c>
      <c r="K489" s="9">
        <v>27</v>
      </c>
      <c r="L489" s="10">
        <f>IFERROR(VLOOKUP(C489,Parâmetros!$A$5:$D$7,IF(D489="Mensal",2,IF(D489="Trimestral",3,4)),0),0)</f>
        <v>40</v>
      </c>
      <c r="M489" s="10">
        <f>IF(G489="Sim",VLOOKUP("EA Play",Parâmetros!$A$11:$B$13,2,0),0)*K489</f>
        <v>0</v>
      </c>
      <c r="N489" s="10">
        <f>IF(H489="Sim",VLOOKUP("Minecraft Pass",Parâmetros!$A$11:$B$13,2,0),0)*K489</f>
        <v>107.73</v>
      </c>
      <c r="O489" s="10">
        <f>IF(I489="Sim",VLOOKUP("Call of Duty Pass",Parâmetros!$A$11:$B$13,2,0),0)*K489</f>
        <v>0</v>
      </c>
      <c r="P489" s="10">
        <f>(L489*K489+M489+N489+O489)*IF(F489="Promoção",1-Parâmetros!$B$22,1)</f>
        <v>1187.73</v>
      </c>
      <c r="Q489" s="10">
        <f>Parâmetros!$B$20*K489</f>
        <v>324</v>
      </c>
      <c r="R489" s="10">
        <f>P489-Q489</f>
        <v>863.73</v>
      </c>
    </row>
    <row r="490" spans="1:18">
      <c r="A490">
        <v>489</v>
      </c>
      <c r="B490" s="8">
        <v>45725</v>
      </c>
      <c r="C490" t="s">
        <v>6</v>
      </c>
      <c r="D490" t="s">
        <v>46</v>
      </c>
      <c r="E490" t="s">
        <v>41</v>
      </c>
      <c r="F490" t="s">
        <v>52</v>
      </c>
      <c r="G490" t="s">
        <v>44</v>
      </c>
      <c r="H490" t="s">
        <v>43</v>
      </c>
      <c r="I490" t="s">
        <v>44</v>
      </c>
      <c r="J490" t="s">
        <v>45</v>
      </c>
      <c r="K490" s="9">
        <v>29</v>
      </c>
      <c r="L490" s="10">
        <f>IFERROR(VLOOKUP(C490,Parâmetros!$A$5:$D$7,IF(D490="Mensal",2,IF(D490="Trimestral",3,4)),0),0)</f>
        <v>9.99</v>
      </c>
      <c r="M490" s="10">
        <f>IF(G490="Sim",VLOOKUP("EA Play",Parâmetros!$A$11:$B$13,2,0),0)*K490</f>
        <v>0</v>
      </c>
      <c r="N490" s="10">
        <f>IF(H490="Sim",VLOOKUP("Minecraft Pass",Parâmetros!$A$11:$B$13,2,0),0)*K490</f>
        <v>115.71000000000001</v>
      </c>
      <c r="O490" s="10">
        <f>IF(I490="Sim",VLOOKUP("Call of Duty Pass",Parâmetros!$A$11:$B$13,2,0),0)*K490</f>
        <v>0</v>
      </c>
      <c r="P490" s="10">
        <f>(L490*K490+M490+N490+O490)*IF(F490="Promoção",1-Parâmetros!$B$22,1)</f>
        <v>405.41999999999996</v>
      </c>
      <c r="Q490" s="10">
        <f>Parâmetros!$B$20*K490</f>
        <v>348</v>
      </c>
      <c r="R490" s="10">
        <f>P490-Q490</f>
        <v>57.419999999999959</v>
      </c>
    </row>
    <row r="491" spans="1:18">
      <c r="A491">
        <v>490</v>
      </c>
      <c r="B491" s="8">
        <v>45930</v>
      </c>
      <c r="C491" t="s">
        <v>6</v>
      </c>
      <c r="D491" t="s">
        <v>46</v>
      </c>
      <c r="E491" t="s">
        <v>51</v>
      </c>
      <c r="F491" t="s">
        <v>42</v>
      </c>
      <c r="G491" t="s">
        <v>43</v>
      </c>
      <c r="H491" t="s">
        <v>44</v>
      </c>
      <c r="I491" t="s">
        <v>44</v>
      </c>
      <c r="J491" t="s">
        <v>49</v>
      </c>
      <c r="K491" s="9">
        <v>4</v>
      </c>
      <c r="L491" s="10">
        <f>IFERROR(VLOOKUP(C491,Parâmetros!$A$5:$D$7,IF(D491="Mensal",2,IF(D491="Trimestral",3,4)),0),0)</f>
        <v>9.99</v>
      </c>
      <c r="M491" s="10">
        <f>IF(G491="Sim",VLOOKUP("EA Play",Parâmetros!$A$11:$B$13,2,0),0)*K491</f>
        <v>19.96</v>
      </c>
      <c r="N491" s="10">
        <f>IF(H491="Sim",VLOOKUP("Minecraft Pass",Parâmetros!$A$11:$B$13,2,0),0)*K491</f>
        <v>0</v>
      </c>
      <c r="O491" s="10">
        <f>IF(I491="Sim",VLOOKUP("Call of Duty Pass",Parâmetros!$A$11:$B$13,2,0),0)*K491</f>
        <v>0</v>
      </c>
      <c r="P491" s="10">
        <f>(L491*K491+M491+N491+O491)*IF(F491="Promoção",1-Parâmetros!$B$22,1)</f>
        <v>59.92</v>
      </c>
      <c r="Q491" s="10">
        <f>Parâmetros!$B$20*K491</f>
        <v>48</v>
      </c>
      <c r="R491" s="10">
        <f>P491-Q491</f>
        <v>11.920000000000002</v>
      </c>
    </row>
    <row r="492" spans="1:18">
      <c r="A492">
        <v>491</v>
      </c>
      <c r="B492" s="8">
        <v>45540</v>
      </c>
      <c r="C492" t="s">
        <v>8</v>
      </c>
      <c r="D492" t="s">
        <v>50</v>
      </c>
      <c r="E492" t="s">
        <v>55</v>
      </c>
      <c r="F492" t="s">
        <v>54</v>
      </c>
      <c r="G492" t="s">
        <v>43</v>
      </c>
      <c r="H492" t="s">
        <v>44</v>
      </c>
      <c r="I492" t="s">
        <v>43</v>
      </c>
      <c r="J492" t="s">
        <v>49</v>
      </c>
      <c r="K492" s="9">
        <v>2</v>
      </c>
      <c r="L492" s="10">
        <f>IFERROR(VLOOKUP(C492,Parâmetros!$A$5:$D$7,IF(D492="Mensal",2,IF(D492="Trimestral",3,4)),0),0)</f>
        <v>219</v>
      </c>
      <c r="M492" s="10">
        <f>IF(G492="Sim",VLOOKUP("EA Play",Parâmetros!$A$11:$B$13,2,0),0)*K492</f>
        <v>9.98</v>
      </c>
      <c r="N492" s="10">
        <f>IF(H492="Sim",VLOOKUP("Minecraft Pass",Parâmetros!$A$11:$B$13,2,0),0)*K492</f>
        <v>0</v>
      </c>
      <c r="O492" s="10">
        <f>IF(I492="Sim",VLOOKUP("Call of Duty Pass",Parâmetros!$A$11:$B$13,2,0),0)*K492</f>
        <v>13.98</v>
      </c>
      <c r="P492" s="10">
        <f>(L492*K492+M492+N492+O492)*IF(F492="Promoção",1-Parâmetros!$B$22,1)</f>
        <v>415.76400000000007</v>
      </c>
      <c r="Q492" s="10">
        <f>Parâmetros!$B$20*K492</f>
        <v>24</v>
      </c>
      <c r="R492" s="10">
        <f>P492-Q492</f>
        <v>391.76400000000007</v>
      </c>
    </row>
    <row r="493" spans="1:18">
      <c r="A493">
        <v>492</v>
      </c>
      <c r="B493" s="8">
        <v>45631</v>
      </c>
      <c r="C493" t="s">
        <v>6</v>
      </c>
      <c r="D493" t="s">
        <v>40</v>
      </c>
      <c r="E493" t="s">
        <v>41</v>
      </c>
      <c r="F493" t="s">
        <v>48</v>
      </c>
      <c r="G493" t="s">
        <v>43</v>
      </c>
      <c r="H493" t="s">
        <v>44</v>
      </c>
      <c r="I493" t="s">
        <v>44</v>
      </c>
      <c r="J493" t="s">
        <v>49</v>
      </c>
      <c r="K493" s="9">
        <v>2</v>
      </c>
      <c r="L493" s="10">
        <f>IFERROR(VLOOKUP(C493,Parâmetros!$A$5:$D$7,IF(D493="Mensal",2,IF(D493="Trimestral",3,4)),0),0)</f>
        <v>27</v>
      </c>
      <c r="M493" s="10">
        <f>IF(G493="Sim",VLOOKUP("EA Play",Parâmetros!$A$11:$B$13,2,0),0)*K493</f>
        <v>9.98</v>
      </c>
      <c r="N493" s="10">
        <f>IF(H493="Sim",VLOOKUP("Minecraft Pass",Parâmetros!$A$11:$B$13,2,0),0)*K493</f>
        <v>0</v>
      </c>
      <c r="O493" s="10">
        <f>IF(I493="Sim",VLOOKUP("Call of Duty Pass",Parâmetros!$A$11:$B$13,2,0),0)*K493</f>
        <v>0</v>
      </c>
      <c r="P493" s="10">
        <f>(L493*K493+M493+N493+O493)*IF(F493="Promoção",1-Parâmetros!$B$22,1)</f>
        <v>63.980000000000004</v>
      </c>
      <c r="Q493" s="10">
        <f>Parâmetros!$B$20*K493</f>
        <v>24</v>
      </c>
      <c r="R493" s="10">
        <f>P493-Q493</f>
        <v>39.980000000000004</v>
      </c>
    </row>
    <row r="494" spans="1:18">
      <c r="A494">
        <v>493</v>
      </c>
      <c r="B494" s="8">
        <v>45677</v>
      </c>
      <c r="C494" t="s">
        <v>7</v>
      </c>
      <c r="D494" t="s">
        <v>40</v>
      </c>
      <c r="E494" t="s">
        <v>41</v>
      </c>
      <c r="F494" t="s">
        <v>42</v>
      </c>
      <c r="G494" t="s">
        <v>43</v>
      </c>
      <c r="H494" t="s">
        <v>44</v>
      </c>
      <c r="I494" t="s">
        <v>44</v>
      </c>
      <c r="J494" t="s">
        <v>49</v>
      </c>
      <c r="K494" s="9">
        <v>1</v>
      </c>
      <c r="L494" s="10">
        <f>IFERROR(VLOOKUP(C494,Parâmetros!$A$5:$D$7,IF(D494="Mensal",2,IF(D494="Trimestral",3,4)),0),0)</f>
        <v>40</v>
      </c>
      <c r="M494" s="10">
        <f>IF(G494="Sim",VLOOKUP("EA Play",Parâmetros!$A$11:$B$13,2,0),0)*K494</f>
        <v>4.99</v>
      </c>
      <c r="N494" s="10">
        <f>IF(H494="Sim",VLOOKUP("Minecraft Pass",Parâmetros!$A$11:$B$13,2,0),0)*K494</f>
        <v>0</v>
      </c>
      <c r="O494" s="10">
        <f>IF(I494="Sim",VLOOKUP("Call of Duty Pass",Parâmetros!$A$11:$B$13,2,0),0)*K494</f>
        <v>0</v>
      </c>
      <c r="P494" s="10">
        <f>(L494*K494+M494+N494+O494)*IF(F494="Promoção",1-Parâmetros!$B$22,1)</f>
        <v>44.99</v>
      </c>
      <c r="Q494" s="10">
        <f>Parâmetros!$B$20*K494</f>
        <v>12</v>
      </c>
      <c r="R494" s="10">
        <f>P494-Q494</f>
        <v>32.99</v>
      </c>
    </row>
    <row r="495" spans="1:18">
      <c r="A495">
        <v>494</v>
      </c>
      <c r="B495" s="8">
        <v>45360</v>
      </c>
      <c r="C495" t="s">
        <v>6</v>
      </c>
      <c r="D495" t="s">
        <v>46</v>
      </c>
      <c r="E495" t="s">
        <v>55</v>
      </c>
      <c r="F495" t="s">
        <v>52</v>
      </c>
      <c r="G495" t="s">
        <v>44</v>
      </c>
      <c r="H495" t="s">
        <v>43</v>
      </c>
      <c r="I495" t="s">
        <v>44</v>
      </c>
      <c r="J495" t="s">
        <v>45</v>
      </c>
      <c r="K495" s="9">
        <v>15</v>
      </c>
      <c r="L495" s="10">
        <f>IFERROR(VLOOKUP(C495,Parâmetros!$A$5:$D$7,IF(D495="Mensal",2,IF(D495="Trimestral",3,4)),0),0)</f>
        <v>9.99</v>
      </c>
      <c r="M495" s="10">
        <f>IF(G495="Sim",VLOOKUP("EA Play",Parâmetros!$A$11:$B$13,2,0),0)*K495</f>
        <v>0</v>
      </c>
      <c r="N495" s="10">
        <f>IF(H495="Sim",VLOOKUP("Minecraft Pass",Parâmetros!$A$11:$B$13,2,0),0)*K495</f>
        <v>59.85</v>
      </c>
      <c r="O495" s="10">
        <f>IF(I495="Sim",VLOOKUP("Call of Duty Pass",Parâmetros!$A$11:$B$13,2,0),0)*K495</f>
        <v>0</v>
      </c>
      <c r="P495" s="10">
        <f>(L495*K495+M495+N495+O495)*IF(F495="Promoção",1-Parâmetros!$B$22,1)</f>
        <v>209.7</v>
      </c>
      <c r="Q495" s="10">
        <f>Parâmetros!$B$20*K495</f>
        <v>180</v>
      </c>
      <c r="R495" s="10">
        <f>P495-Q495</f>
        <v>29.699999999999989</v>
      </c>
    </row>
    <row r="496" spans="1:18">
      <c r="A496">
        <v>495</v>
      </c>
      <c r="B496" s="8">
        <v>45681</v>
      </c>
      <c r="C496" t="s">
        <v>7</v>
      </c>
      <c r="D496" t="s">
        <v>40</v>
      </c>
      <c r="E496" t="s">
        <v>55</v>
      </c>
      <c r="F496" t="s">
        <v>48</v>
      </c>
      <c r="G496" t="s">
        <v>44</v>
      </c>
      <c r="H496" t="s">
        <v>43</v>
      </c>
      <c r="I496" t="s">
        <v>43</v>
      </c>
      <c r="J496" t="s">
        <v>45</v>
      </c>
      <c r="K496" s="9">
        <v>2</v>
      </c>
      <c r="L496" s="10">
        <f>IFERROR(VLOOKUP(C496,Parâmetros!$A$5:$D$7,IF(D496="Mensal",2,IF(D496="Trimestral",3,4)),0),0)</f>
        <v>40</v>
      </c>
      <c r="M496" s="10">
        <f>IF(G496="Sim",VLOOKUP("EA Play",Parâmetros!$A$11:$B$13,2,0),0)*K496</f>
        <v>0</v>
      </c>
      <c r="N496" s="10">
        <f>IF(H496="Sim",VLOOKUP("Minecraft Pass",Parâmetros!$A$11:$B$13,2,0),0)*K496</f>
        <v>7.98</v>
      </c>
      <c r="O496" s="10">
        <f>IF(I496="Sim",VLOOKUP("Call of Duty Pass",Parâmetros!$A$11:$B$13,2,0),0)*K496</f>
        <v>13.98</v>
      </c>
      <c r="P496" s="10">
        <f>(L496*K496+M496+N496+O496)*IF(F496="Promoção",1-Parâmetros!$B$22,1)</f>
        <v>101.96000000000001</v>
      </c>
      <c r="Q496" s="10">
        <f>Parâmetros!$B$20*K496</f>
        <v>24</v>
      </c>
      <c r="R496" s="10">
        <f>P496-Q496</f>
        <v>77.960000000000008</v>
      </c>
    </row>
    <row r="497" spans="1:18">
      <c r="A497">
        <v>496</v>
      </c>
      <c r="B497" s="8">
        <v>45332</v>
      </c>
      <c r="C497" t="s">
        <v>6</v>
      </c>
      <c r="D497" t="s">
        <v>40</v>
      </c>
      <c r="E497" t="s">
        <v>41</v>
      </c>
      <c r="F497" t="s">
        <v>42</v>
      </c>
      <c r="G497" t="s">
        <v>43</v>
      </c>
      <c r="H497" t="s">
        <v>43</v>
      </c>
      <c r="I497" t="s">
        <v>44</v>
      </c>
      <c r="J497" t="s">
        <v>45</v>
      </c>
      <c r="K497" s="9">
        <v>16</v>
      </c>
      <c r="L497" s="10">
        <f>IFERROR(VLOOKUP(C497,Parâmetros!$A$5:$D$7,IF(D497="Mensal",2,IF(D497="Trimestral",3,4)),0),0)</f>
        <v>27</v>
      </c>
      <c r="M497" s="10">
        <f>IF(G497="Sim",VLOOKUP("EA Play",Parâmetros!$A$11:$B$13,2,0),0)*K497</f>
        <v>79.84</v>
      </c>
      <c r="N497" s="10">
        <f>IF(H497="Sim",VLOOKUP("Minecraft Pass",Parâmetros!$A$11:$B$13,2,0),0)*K497</f>
        <v>63.84</v>
      </c>
      <c r="O497" s="10">
        <f>IF(I497="Sim",VLOOKUP("Call of Duty Pass",Parâmetros!$A$11:$B$13,2,0),0)*K497</f>
        <v>0</v>
      </c>
      <c r="P497" s="10">
        <f>(L497*K497+M497+N497+O497)*IF(F497="Promoção",1-Parâmetros!$B$22,1)</f>
        <v>575.68000000000006</v>
      </c>
      <c r="Q497" s="10">
        <f>Parâmetros!$B$20*K497</f>
        <v>192</v>
      </c>
      <c r="R497" s="10">
        <f>P497-Q497</f>
        <v>383.68000000000006</v>
      </c>
    </row>
    <row r="498" spans="1:18">
      <c r="A498">
        <v>497</v>
      </c>
      <c r="B498" s="8">
        <v>45805</v>
      </c>
      <c r="C498" t="s">
        <v>6</v>
      </c>
      <c r="D498" t="s">
        <v>46</v>
      </c>
      <c r="E498" t="s">
        <v>41</v>
      </c>
      <c r="F498" t="s">
        <v>42</v>
      </c>
      <c r="G498" t="s">
        <v>44</v>
      </c>
      <c r="H498" t="s">
        <v>44</v>
      </c>
      <c r="I498" t="s">
        <v>44</v>
      </c>
      <c r="J498" t="s">
        <v>45</v>
      </c>
      <c r="K498" s="9">
        <v>15</v>
      </c>
      <c r="L498" s="10">
        <f>IFERROR(VLOOKUP(C498,Parâmetros!$A$5:$D$7,IF(D498="Mensal",2,IF(D498="Trimestral",3,4)),0),0)</f>
        <v>9.99</v>
      </c>
      <c r="M498" s="10">
        <f>IF(G498="Sim",VLOOKUP("EA Play",Parâmetros!$A$11:$B$13,2,0),0)*K498</f>
        <v>0</v>
      </c>
      <c r="N498" s="10">
        <f>IF(H498="Sim",VLOOKUP("Minecraft Pass",Parâmetros!$A$11:$B$13,2,0),0)*K498</f>
        <v>0</v>
      </c>
      <c r="O498" s="10">
        <f>IF(I498="Sim",VLOOKUP("Call of Duty Pass",Parâmetros!$A$11:$B$13,2,0),0)*K498</f>
        <v>0</v>
      </c>
      <c r="P498" s="10">
        <f>(L498*K498+M498+N498+O498)*IF(F498="Promoção",1-Parâmetros!$B$22,1)</f>
        <v>149.85</v>
      </c>
      <c r="Q498" s="10">
        <f>Parâmetros!$B$20*K498</f>
        <v>180</v>
      </c>
      <c r="R498" s="10">
        <f>P498-Q498</f>
        <v>-30.150000000000006</v>
      </c>
    </row>
    <row r="499" spans="1:18">
      <c r="A499">
        <v>498</v>
      </c>
      <c r="B499" s="8">
        <v>45447</v>
      </c>
      <c r="C499" t="s">
        <v>6</v>
      </c>
      <c r="D499" t="s">
        <v>46</v>
      </c>
      <c r="E499" t="s">
        <v>41</v>
      </c>
      <c r="F499" t="s">
        <v>52</v>
      </c>
      <c r="G499" t="s">
        <v>44</v>
      </c>
      <c r="H499" t="s">
        <v>44</v>
      </c>
      <c r="I499" t="s">
        <v>44</v>
      </c>
      <c r="J499" t="s">
        <v>45</v>
      </c>
      <c r="K499" s="9">
        <v>27</v>
      </c>
      <c r="L499" s="10">
        <f>IFERROR(VLOOKUP(C499,Parâmetros!$A$5:$D$7,IF(D499="Mensal",2,IF(D499="Trimestral",3,4)),0),0)</f>
        <v>9.99</v>
      </c>
      <c r="M499" s="10">
        <f>IF(G499="Sim",VLOOKUP("EA Play",Parâmetros!$A$11:$B$13,2,0),0)*K499</f>
        <v>0</v>
      </c>
      <c r="N499" s="10">
        <f>IF(H499="Sim",VLOOKUP("Minecraft Pass",Parâmetros!$A$11:$B$13,2,0),0)*K499</f>
        <v>0</v>
      </c>
      <c r="O499" s="10">
        <f>IF(I499="Sim",VLOOKUP("Call of Duty Pass",Parâmetros!$A$11:$B$13,2,0),0)*K499</f>
        <v>0</v>
      </c>
      <c r="P499" s="10">
        <f>(L499*K499+M499+N499+O499)*IF(F499="Promoção",1-Parâmetros!$B$22,1)</f>
        <v>269.73</v>
      </c>
      <c r="Q499" s="10">
        <f>Parâmetros!$B$20*K499</f>
        <v>324</v>
      </c>
      <c r="R499" s="10">
        <f>P499-Q499</f>
        <v>-54.269999999999982</v>
      </c>
    </row>
    <row r="500" spans="1:18">
      <c r="A500">
        <v>499</v>
      </c>
      <c r="B500" s="8">
        <v>45538</v>
      </c>
      <c r="C500" t="s">
        <v>7</v>
      </c>
      <c r="D500" t="s">
        <v>46</v>
      </c>
      <c r="E500" t="s">
        <v>41</v>
      </c>
      <c r="F500" t="s">
        <v>52</v>
      </c>
      <c r="G500" t="s">
        <v>43</v>
      </c>
      <c r="H500" t="s">
        <v>43</v>
      </c>
      <c r="I500" t="s">
        <v>44</v>
      </c>
      <c r="J500" t="s">
        <v>45</v>
      </c>
      <c r="K500" s="9">
        <v>13</v>
      </c>
      <c r="L500" s="10">
        <f>IFERROR(VLOOKUP(C500,Parâmetros!$A$5:$D$7,IF(D500="Mensal",2,IF(D500="Trimestral",3,4)),0),0)</f>
        <v>14.99</v>
      </c>
      <c r="M500" s="10">
        <f>IF(G500="Sim",VLOOKUP("EA Play",Parâmetros!$A$11:$B$13,2,0),0)*K500</f>
        <v>64.87</v>
      </c>
      <c r="N500" s="10">
        <f>IF(H500="Sim",VLOOKUP("Minecraft Pass",Parâmetros!$A$11:$B$13,2,0),0)*K500</f>
        <v>51.870000000000005</v>
      </c>
      <c r="O500" s="10">
        <f>IF(I500="Sim",VLOOKUP("Call of Duty Pass",Parâmetros!$A$11:$B$13,2,0),0)*K500</f>
        <v>0</v>
      </c>
      <c r="P500" s="10">
        <f>(L500*K500+M500+N500+O500)*IF(F500="Promoção",1-Parâmetros!$B$22,1)</f>
        <v>311.61</v>
      </c>
      <c r="Q500" s="10">
        <f>Parâmetros!$B$20*K500</f>
        <v>156</v>
      </c>
      <c r="R500" s="10">
        <f>P500-Q500</f>
        <v>155.61000000000001</v>
      </c>
    </row>
    <row r="501" spans="1:18">
      <c r="A501">
        <v>500</v>
      </c>
      <c r="B501" s="8">
        <v>45433</v>
      </c>
      <c r="C501" t="s">
        <v>6</v>
      </c>
      <c r="D501" t="s">
        <v>40</v>
      </c>
      <c r="E501" t="s">
        <v>47</v>
      </c>
      <c r="F501" t="s">
        <v>42</v>
      </c>
      <c r="G501" t="s">
        <v>44</v>
      </c>
      <c r="H501" t="s">
        <v>44</v>
      </c>
      <c r="I501" t="s">
        <v>43</v>
      </c>
      <c r="J501" t="s">
        <v>45</v>
      </c>
      <c r="K501" s="9">
        <v>11</v>
      </c>
      <c r="L501" s="10">
        <f>IFERROR(VLOOKUP(C501,Parâmetros!$A$5:$D$7,IF(D501="Mensal",2,IF(D501="Trimestral",3,4)),0),0)</f>
        <v>27</v>
      </c>
      <c r="M501" s="10">
        <f>IF(G501="Sim",VLOOKUP("EA Play",Parâmetros!$A$11:$B$13,2,0),0)*K501</f>
        <v>0</v>
      </c>
      <c r="N501" s="10">
        <f>IF(H501="Sim",VLOOKUP("Minecraft Pass",Parâmetros!$A$11:$B$13,2,0),0)*K501</f>
        <v>0</v>
      </c>
      <c r="O501" s="10">
        <f>IF(I501="Sim",VLOOKUP("Call of Duty Pass",Parâmetros!$A$11:$B$13,2,0),0)*K501</f>
        <v>76.89</v>
      </c>
      <c r="P501" s="10">
        <f>(L501*K501+M501+N501+O501)*IF(F501="Promoção",1-Parâmetros!$B$22,1)</f>
        <v>373.89</v>
      </c>
      <c r="Q501" s="10">
        <f>Parâmetros!$B$20*K501</f>
        <v>132</v>
      </c>
      <c r="R501" s="10">
        <f>P501-Q501</f>
        <v>241.89</v>
      </c>
    </row>
    <row r="502" spans="1:18">
      <c r="A502">
        <v>501</v>
      </c>
      <c r="B502" s="8">
        <v>45617</v>
      </c>
      <c r="C502" t="s">
        <v>6</v>
      </c>
      <c r="D502" t="s">
        <v>40</v>
      </c>
      <c r="E502" t="s">
        <v>51</v>
      </c>
      <c r="F502" t="s">
        <v>42</v>
      </c>
      <c r="G502" t="s">
        <v>44</v>
      </c>
      <c r="H502" t="s">
        <v>43</v>
      </c>
      <c r="I502" t="s">
        <v>43</v>
      </c>
      <c r="J502" t="s">
        <v>49</v>
      </c>
      <c r="K502" s="9">
        <v>27</v>
      </c>
      <c r="L502" s="10">
        <f>IFERROR(VLOOKUP(C502,Parâmetros!$A$5:$D$7,IF(D502="Mensal",2,IF(D502="Trimestral",3,4)),0),0)</f>
        <v>27</v>
      </c>
      <c r="M502" s="10">
        <f>IF(G502="Sim",VLOOKUP("EA Play",Parâmetros!$A$11:$B$13,2,0),0)*K502</f>
        <v>0</v>
      </c>
      <c r="N502" s="10">
        <f>IF(H502="Sim",VLOOKUP("Minecraft Pass",Parâmetros!$A$11:$B$13,2,0),0)*K502</f>
        <v>107.73</v>
      </c>
      <c r="O502" s="10">
        <f>IF(I502="Sim",VLOOKUP("Call of Duty Pass",Parâmetros!$A$11:$B$13,2,0),0)*K502</f>
        <v>188.73000000000002</v>
      </c>
      <c r="P502" s="10">
        <f>(L502*K502+M502+N502+O502)*IF(F502="Promoção",1-Parâmetros!$B$22,1)</f>
        <v>1025.46</v>
      </c>
      <c r="Q502" s="10">
        <f>Parâmetros!$B$20*K502</f>
        <v>324</v>
      </c>
      <c r="R502" s="10">
        <f>P502-Q502</f>
        <v>701.46</v>
      </c>
    </row>
    <row r="503" spans="1:18">
      <c r="A503">
        <v>502</v>
      </c>
      <c r="B503" s="8">
        <v>45713</v>
      </c>
      <c r="C503" t="s">
        <v>6</v>
      </c>
      <c r="D503" t="s">
        <v>40</v>
      </c>
      <c r="E503" t="s">
        <v>51</v>
      </c>
      <c r="F503" t="s">
        <v>52</v>
      </c>
      <c r="G503" t="s">
        <v>44</v>
      </c>
      <c r="H503" t="s">
        <v>43</v>
      </c>
      <c r="I503" t="s">
        <v>43</v>
      </c>
      <c r="J503" t="s">
        <v>49</v>
      </c>
      <c r="K503" s="9">
        <v>2</v>
      </c>
      <c r="L503" s="10">
        <f>IFERROR(VLOOKUP(C503,Parâmetros!$A$5:$D$7,IF(D503="Mensal",2,IF(D503="Trimestral",3,4)),0),0)</f>
        <v>27</v>
      </c>
      <c r="M503" s="10">
        <f>IF(G503="Sim",VLOOKUP("EA Play",Parâmetros!$A$11:$B$13,2,0),0)*K503</f>
        <v>0</v>
      </c>
      <c r="N503" s="10">
        <f>IF(H503="Sim",VLOOKUP("Minecraft Pass",Parâmetros!$A$11:$B$13,2,0),0)*K503</f>
        <v>7.98</v>
      </c>
      <c r="O503" s="10">
        <f>IF(I503="Sim",VLOOKUP("Call of Duty Pass",Parâmetros!$A$11:$B$13,2,0),0)*K503</f>
        <v>13.98</v>
      </c>
      <c r="P503" s="10">
        <f>(L503*K503+M503+N503+O503)*IF(F503="Promoção",1-Parâmetros!$B$22,1)</f>
        <v>75.960000000000008</v>
      </c>
      <c r="Q503" s="10">
        <f>Parâmetros!$B$20*K503</f>
        <v>24</v>
      </c>
      <c r="R503" s="10">
        <f>P503-Q503</f>
        <v>51.960000000000008</v>
      </c>
    </row>
    <row r="504" spans="1:18">
      <c r="A504">
        <v>503</v>
      </c>
      <c r="B504" s="8">
        <v>45918</v>
      </c>
      <c r="C504" t="s">
        <v>7</v>
      </c>
      <c r="D504" t="s">
        <v>40</v>
      </c>
      <c r="E504" t="s">
        <v>47</v>
      </c>
      <c r="F504" t="s">
        <v>48</v>
      </c>
      <c r="G504" t="s">
        <v>43</v>
      </c>
      <c r="H504" t="s">
        <v>43</v>
      </c>
      <c r="I504" t="s">
        <v>43</v>
      </c>
      <c r="J504" t="s">
        <v>45</v>
      </c>
      <c r="K504" s="9">
        <v>9</v>
      </c>
      <c r="L504" s="10">
        <f>IFERROR(VLOOKUP(C504,Parâmetros!$A$5:$D$7,IF(D504="Mensal",2,IF(D504="Trimestral",3,4)),0),0)</f>
        <v>40</v>
      </c>
      <c r="M504" s="10">
        <f>IF(G504="Sim",VLOOKUP("EA Play",Parâmetros!$A$11:$B$13,2,0),0)*K504</f>
        <v>44.910000000000004</v>
      </c>
      <c r="N504" s="10">
        <f>IF(H504="Sim",VLOOKUP("Minecraft Pass",Parâmetros!$A$11:$B$13,2,0),0)*K504</f>
        <v>35.910000000000004</v>
      </c>
      <c r="O504" s="10">
        <f>IF(I504="Sim",VLOOKUP("Call of Duty Pass",Parâmetros!$A$11:$B$13,2,0),0)*K504</f>
        <v>62.910000000000004</v>
      </c>
      <c r="P504" s="10">
        <f>(L504*K504+M504+N504+O504)*IF(F504="Promoção",1-Parâmetros!$B$22,1)</f>
        <v>503.73000000000008</v>
      </c>
      <c r="Q504" s="10">
        <f>Parâmetros!$B$20*K504</f>
        <v>108</v>
      </c>
      <c r="R504" s="10">
        <f>P504-Q504</f>
        <v>395.73000000000008</v>
      </c>
    </row>
    <row r="505" spans="1:18">
      <c r="A505">
        <v>504</v>
      </c>
      <c r="B505" s="8">
        <v>45806</v>
      </c>
      <c r="C505" t="s">
        <v>8</v>
      </c>
      <c r="D505" t="s">
        <v>46</v>
      </c>
      <c r="E505" t="s">
        <v>51</v>
      </c>
      <c r="F505" t="s">
        <v>42</v>
      </c>
      <c r="G505" t="s">
        <v>43</v>
      </c>
      <c r="H505" t="s">
        <v>44</v>
      </c>
      <c r="I505" t="s">
        <v>43</v>
      </c>
      <c r="J505" t="s">
        <v>49</v>
      </c>
      <c r="K505" s="9">
        <v>27</v>
      </c>
      <c r="L505" s="10">
        <f>IFERROR(VLOOKUP(C505,Parâmetros!$A$5:$D$7,IF(D505="Mensal",2,IF(D505="Trimestral",3,4)),0),0)</f>
        <v>21.99</v>
      </c>
      <c r="M505" s="10">
        <f>IF(G505="Sim",VLOOKUP("EA Play",Parâmetros!$A$11:$B$13,2,0),0)*K505</f>
        <v>134.73000000000002</v>
      </c>
      <c r="N505" s="10">
        <f>IF(H505="Sim",VLOOKUP("Minecraft Pass",Parâmetros!$A$11:$B$13,2,0),0)*K505</f>
        <v>0</v>
      </c>
      <c r="O505" s="10">
        <f>IF(I505="Sim",VLOOKUP("Call of Duty Pass",Parâmetros!$A$11:$B$13,2,0),0)*K505</f>
        <v>188.73000000000002</v>
      </c>
      <c r="P505" s="10">
        <f>(L505*K505+M505+N505+O505)*IF(F505="Promoção",1-Parâmetros!$B$22,1)</f>
        <v>917.18999999999994</v>
      </c>
      <c r="Q505" s="10">
        <f>Parâmetros!$B$20*K505</f>
        <v>324</v>
      </c>
      <c r="R505" s="10">
        <f>P505-Q505</f>
        <v>593.18999999999994</v>
      </c>
    </row>
    <row r="506" spans="1:18">
      <c r="A506">
        <v>505</v>
      </c>
      <c r="B506" s="8">
        <v>45307</v>
      </c>
      <c r="C506" t="s">
        <v>8</v>
      </c>
      <c r="D506" t="s">
        <v>50</v>
      </c>
      <c r="E506" t="s">
        <v>41</v>
      </c>
      <c r="F506" t="s">
        <v>52</v>
      </c>
      <c r="G506" t="s">
        <v>43</v>
      </c>
      <c r="H506" t="s">
        <v>43</v>
      </c>
      <c r="I506" t="s">
        <v>43</v>
      </c>
      <c r="J506" t="s">
        <v>45</v>
      </c>
      <c r="K506" s="9">
        <v>29</v>
      </c>
      <c r="L506" s="10">
        <f>IFERROR(VLOOKUP(C506,Parâmetros!$A$5:$D$7,IF(D506="Mensal",2,IF(D506="Trimestral",3,4)),0),0)</f>
        <v>219</v>
      </c>
      <c r="M506" s="10">
        <f>IF(G506="Sim",VLOOKUP("EA Play",Parâmetros!$A$11:$B$13,2,0),0)*K506</f>
        <v>144.71</v>
      </c>
      <c r="N506" s="10">
        <f>IF(H506="Sim",VLOOKUP("Minecraft Pass",Parâmetros!$A$11:$B$13,2,0),0)*K506</f>
        <v>115.71000000000001</v>
      </c>
      <c r="O506" s="10">
        <f>IF(I506="Sim",VLOOKUP("Call of Duty Pass",Parâmetros!$A$11:$B$13,2,0),0)*K506</f>
        <v>202.71</v>
      </c>
      <c r="P506" s="10">
        <f>(L506*K506+M506+N506+O506)*IF(F506="Promoção",1-Parâmetros!$B$22,1)</f>
        <v>6814.13</v>
      </c>
      <c r="Q506" s="10">
        <f>Parâmetros!$B$20*K506</f>
        <v>348</v>
      </c>
      <c r="R506" s="10">
        <f>P506-Q506</f>
        <v>6466.13</v>
      </c>
    </row>
    <row r="507" spans="1:18">
      <c r="A507">
        <v>506</v>
      </c>
      <c r="B507" s="8">
        <v>45923</v>
      </c>
      <c r="C507" t="s">
        <v>7</v>
      </c>
      <c r="D507" t="s">
        <v>46</v>
      </c>
      <c r="E507" t="s">
        <v>47</v>
      </c>
      <c r="F507" t="s">
        <v>42</v>
      </c>
      <c r="G507" t="s">
        <v>43</v>
      </c>
      <c r="H507" t="s">
        <v>43</v>
      </c>
      <c r="I507" t="s">
        <v>44</v>
      </c>
      <c r="J507" t="s">
        <v>49</v>
      </c>
      <c r="K507" s="9">
        <v>21</v>
      </c>
      <c r="L507" s="10">
        <f>IFERROR(VLOOKUP(C507,Parâmetros!$A$5:$D$7,IF(D507="Mensal",2,IF(D507="Trimestral",3,4)),0),0)</f>
        <v>14.99</v>
      </c>
      <c r="M507" s="10">
        <f>IF(G507="Sim",VLOOKUP("EA Play",Parâmetros!$A$11:$B$13,2,0),0)*K507</f>
        <v>104.79</v>
      </c>
      <c r="N507" s="10">
        <f>IF(H507="Sim",VLOOKUP("Minecraft Pass",Parâmetros!$A$11:$B$13,2,0),0)*K507</f>
        <v>83.79</v>
      </c>
      <c r="O507" s="10">
        <f>IF(I507="Sim",VLOOKUP("Call of Duty Pass",Parâmetros!$A$11:$B$13,2,0),0)*K507</f>
        <v>0</v>
      </c>
      <c r="P507" s="10">
        <f>(L507*K507+M507+N507+O507)*IF(F507="Promoção",1-Parâmetros!$B$22,1)</f>
        <v>503.37000000000006</v>
      </c>
      <c r="Q507" s="10">
        <f>Parâmetros!$B$20*K507</f>
        <v>252</v>
      </c>
      <c r="R507" s="10">
        <f>P507-Q507</f>
        <v>251.37000000000006</v>
      </c>
    </row>
    <row r="508" spans="1:18">
      <c r="A508">
        <v>507</v>
      </c>
      <c r="B508" s="8">
        <v>45695</v>
      </c>
      <c r="C508" t="s">
        <v>7</v>
      </c>
      <c r="D508" t="s">
        <v>40</v>
      </c>
      <c r="E508" t="s">
        <v>47</v>
      </c>
      <c r="F508" t="s">
        <v>48</v>
      </c>
      <c r="G508" t="s">
        <v>44</v>
      </c>
      <c r="H508" t="s">
        <v>44</v>
      </c>
      <c r="I508" t="s">
        <v>44</v>
      </c>
      <c r="J508" t="s">
        <v>49</v>
      </c>
      <c r="K508" s="9">
        <v>3</v>
      </c>
      <c r="L508" s="10">
        <f>IFERROR(VLOOKUP(C508,Parâmetros!$A$5:$D$7,IF(D508="Mensal",2,IF(D508="Trimestral",3,4)),0),0)</f>
        <v>40</v>
      </c>
      <c r="M508" s="10">
        <f>IF(G508="Sim",VLOOKUP("EA Play",Parâmetros!$A$11:$B$13,2,0),0)*K508</f>
        <v>0</v>
      </c>
      <c r="N508" s="10">
        <f>IF(H508="Sim",VLOOKUP("Minecraft Pass",Parâmetros!$A$11:$B$13,2,0),0)*K508</f>
        <v>0</v>
      </c>
      <c r="O508" s="10">
        <f>IF(I508="Sim",VLOOKUP("Call of Duty Pass",Parâmetros!$A$11:$B$13,2,0),0)*K508</f>
        <v>0</v>
      </c>
      <c r="P508" s="10">
        <f>(L508*K508+M508+N508+O508)*IF(F508="Promoção",1-Parâmetros!$B$22,1)</f>
        <v>120</v>
      </c>
      <c r="Q508" s="10">
        <f>Parâmetros!$B$20*K508</f>
        <v>36</v>
      </c>
      <c r="R508" s="10">
        <f>P508-Q508</f>
        <v>84</v>
      </c>
    </row>
    <row r="509" spans="1:18">
      <c r="A509">
        <v>508</v>
      </c>
      <c r="B509" s="8">
        <v>45543</v>
      </c>
      <c r="C509" t="s">
        <v>7</v>
      </c>
      <c r="D509" t="s">
        <v>46</v>
      </c>
      <c r="E509" t="s">
        <v>51</v>
      </c>
      <c r="F509" t="s">
        <v>48</v>
      </c>
      <c r="G509" t="s">
        <v>44</v>
      </c>
      <c r="H509" t="s">
        <v>44</v>
      </c>
      <c r="I509" t="s">
        <v>43</v>
      </c>
      <c r="J509" t="s">
        <v>49</v>
      </c>
      <c r="K509" s="9">
        <v>26</v>
      </c>
      <c r="L509" s="10">
        <f>IFERROR(VLOOKUP(C509,Parâmetros!$A$5:$D$7,IF(D509="Mensal",2,IF(D509="Trimestral",3,4)),0),0)</f>
        <v>14.99</v>
      </c>
      <c r="M509" s="10">
        <f>IF(G509="Sim",VLOOKUP("EA Play",Parâmetros!$A$11:$B$13,2,0),0)*K509</f>
        <v>0</v>
      </c>
      <c r="N509" s="10">
        <f>IF(H509="Sim",VLOOKUP("Minecraft Pass",Parâmetros!$A$11:$B$13,2,0),0)*K509</f>
        <v>0</v>
      </c>
      <c r="O509" s="10">
        <f>IF(I509="Sim",VLOOKUP("Call of Duty Pass",Parâmetros!$A$11:$B$13,2,0),0)*K509</f>
        <v>181.74</v>
      </c>
      <c r="P509" s="10">
        <f>(L509*K509+M509+N509+O509)*IF(F509="Promoção",1-Parâmetros!$B$22,1)</f>
        <v>571.48</v>
      </c>
      <c r="Q509" s="10">
        <f>Parâmetros!$B$20*K509</f>
        <v>312</v>
      </c>
      <c r="R509" s="10">
        <f>P509-Q509</f>
        <v>259.48</v>
      </c>
    </row>
    <row r="510" spans="1:18">
      <c r="A510">
        <v>509</v>
      </c>
      <c r="B510" s="8">
        <v>45603</v>
      </c>
      <c r="C510" t="s">
        <v>8</v>
      </c>
      <c r="D510" t="s">
        <v>46</v>
      </c>
      <c r="E510" t="s">
        <v>41</v>
      </c>
      <c r="F510" t="s">
        <v>42</v>
      </c>
      <c r="G510" t="s">
        <v>44</v>
      </c>
      <c r="H510" t="s">
        <v>44</v>
      </c>
      <c r="I510" t="s">
        <v>44</v>
      </c>
      <c r="J510" t="s">
        <v>49</v>
      </c>
      <c r="K510" s="9">
        <v>29</v>
      </c>
      <c r="L510" s="10">
        <f>IFERROR(VLOOKUP(C510,Parâmetros!$A$5:$D$7,IF(D510="Mensal",2,IF(D510="Trimestral",3,4)),0),0)</f>
        <v>21.99</v>
      </c>
      <c r="M510" s="10">
        <f>IF(G510="Sim",VLOOKUP("EA Play",Parâmetros!$A$11:$B$13,2,0),0)*K510</f>
        <v>0</v>
      </c>
      <c r="N510" s="10">
        <f>IF(H510="Sim",VLOOKUP("Minecraft Pass",Parâmetros!$A$11:$B$13,2,0),0)*K510</f>
        <v>0</v>
      </c>
      <c r="O510" s="10">
        <f>IF(I510="Sim",VLOOKUP("Call of Duty Pass",Parâmetros!$A$11:$B$13,2,0),0)*K510</f>
        <v>0</v>
      </c>
      <c r="P510" s="10">
        <f>(L510*K510+M510+N510+O510)*IF(F510="Promoção",1-Parâmetros!$B$22,1)</f>
        <v>637.70999999999992</v>
      </c>
      <c r="Q510" s="10">
        <f>Parâmetros!$B$20*K510</f>
        <v>348</v>
      </c>
      <c r="R510" s="10">
        <f>P510-Q510</f>
        <v>289.70999999999992</v>
      </c>
    </row>
    <row r="511" spans="1:18">
      <c r="A511">
        <v>510</v>
      </c>
      <c r="B511" s="8">
        <v>45384</v>
      </c>
      <c r="C511" t="s">
        <v>7</v>
      </c>
      <c r="D511" t="s">
        <v>46</v>
      </c>
      <c r="E511" t="s">
        <v>51</v>
      </c>
      <c r="F511" t="s">
        <v>54</v>
      </c>
      <c r="G511" t="s">
        <v>44</v>
      </c>
      <c r="H511" t="s">
        <v>43</v>
      </c>
      <c r="I511" t="s">
        <v>44</v>
      </c>
      <c r="J511" t="s">
        <v>49</v>
      </c>
      <c r="K511" s="9">
        <v>12</v>
      </c>
      <c r="L511" s="10">
        <f>IFERROR(VLOOKUP(C511,Parâmetros!$A$5:$D$7,IF(D511="Mensal",2,IF(D511="Trimestral",3,4)),0),0)</f>
        <v>14.99</v>
      </c>
      <c r="M511" s="10">
        <f>IF(G511="Sim",VLOOKUP("EA Play",Parâmetros!$A$11:$B$13,2,0),0)*K511</f>
        <v>0</v>
      </c>
      <c r="N511" s="10">
        <f>IF(H511="Sim",VLOOKUP("Minecraft Pass",Parâmetros!$A$11:$B$13,2,0),0)*K511</f>
        <v>47.88</v>
      </c>
      <c r="O511" s="10">
        <f>IF(I511="Sim",VLOOKUP("Call of Duty Pass",Parâmetros!$A$11:$B$13,2,0),0)*K511</f>
        <v>0</v>
      </c>
      <c r="P511" s="10">
        <f>(L511*K511+M511+N511+O511)*IF(F511="Promoção",1-Parâmetros!$B$22,1)</f>
        <v>204.98400000000001</v>
      </c>
      <c r="Q511" s="10">
        <f>Parâmetros!$B$20*K511</f>
        <v>144</v>
      </c>
      <c r="R511" s="10">
        <f>P511-Q511</f>
        <v>60.984000000000009</v>
      </c>
    </row>
    <row r="512" spans="1:18">
      <c r="A512">
        <v>511</v>
      </c>
      <c r="B512" s="8">
        <v>45756</v>
      </c>
      <c r="C512" t="s">
        <v>7</v>
      </c>
      <c r="D512" t="s">
        <v>40</v>
      </c>
      <c r="E512" t="s">
        <v>41</v>
      </c>
      <c r="F512" t="s">
        <v>48</v>
      </c>
      <c r="G512" t="s">
        <v>43</v>
      </c>
      <c r="H512" t="s">
        <v>44</v>
      </c>
      <c r="I512" t="s">
        <v>44</v>
      </c>
      <c r="J512" t="s">
        <v>45</v>
      </c>
      <c r="K512" s="9">
        <v>8</v>
      </c>
      <c r="L512" s="10">
        <f>IFERROR(VLOOKUP(C512,Parâmetros!$A$5:$D$7,IF(D512="Mensal",2,IF(D512="Trimestral",3,4)),0),0)</f>
        <v>40</v>
      </c>
      <c r="M512" s="10">
        <f>IF(G512="Sim",VLOOKUP("EA Play",Parâmetros!$A$11:$B$13,2,0),0)*K512</f>
        <v>39.92</v>
      </c>
      <c r="N512" s="10">
        <f>IF(H512="Sim",VLOOKUP("Minecraft Pass",Parâmetros!$A$11:$B$13,2,0),0)*K512</f>
        <v>0</v>
      </c>
      <c r="O512" s="10">
        <f>IF(I512="Sim",VLOOKUP("Call of Duty Pass",Parâmetros!$A$11:$B$13,2,0),0)*K512</f>
        <v>0</v>
      </c>
      <c r="P512" s="10">
        <f>(L512*K512+M512+N512+O512)*IF(F512="Promoção",1-Parâmetros!$B$22,1)</f>
        <v>359.92</v>
      </c>
      <c r="Q512" s="10">
        <f>Parâmetros!$B$20*K512</f>
        <v>96</v>
      </c>
      <c r="R512" s="10">
        <f>P512-Q512</f>
        <v>263.92</v>
      </c>
    </row>
    <row r="513" spans="1:18">
      <c r="A513">
        <v>512</v>
      </c>
      <c r="B513" s="8">
        <v>45385</v>
      </c>
      <c r="C513" t="s">
        <v>6</v>
      </c>
      <c r="D513" t="s">
        <v>46</v>
      </c>
      <c r="E513" t="s">
        <v>41</v>
      </c>
      <c r="F513" t="s">
        <v>48</v>
      </c>
      <c r="G513" t="s">
        <v>43</v>
      </c>
      <c r="H513" t="s">
        <v>44</v>
      </c>
      <c r="I513" t="s">
        <v>44</v>
      </c>
      <c r="J513" t="s">
        <v>45</v>
      </c>
      <c r="K513" s="9">
        <v>25</v>
      </c>
      <c r="L513" s="10">
        <f>IFERROR(VLOOKUP(C513,Parâmetros!$A$5:$D$7,IF(D513="Mensal",2,IF(D513="Trimestral",3,4)),0),0)</f>
        <v>9.99</v>
      </c>
      <c r="M513" s="10">
        <f>IF(G513="Sim",VLOOKUP("EA Play",Parâmetros!$A$11:$B$13,2,0),0)*K513</f>
        <v>124.75</v>
      </c>
      <c r="N513" s="10">
        <f>IF(H513="Sim",VLOOKUP("Minecraft Pass",Parâmetros!$A$11:$B$13,2,0),0)*K513</f>
        <v>0</v>
      </c>
      <c r="O513" s="10">
        <f>IF(I513="Sim",VLOOKUP("Call of Duty Pass",Parâmetros!$A$11:$B$13,2,0),0)*K513</f>
        <v>0</v>
      </c>
      <c r="P513" s="10">
        <f>(L513*K513+M513+N513+O513)*IF(F513="Promoção",1-Parâmetros!$B$22,1)</f>
        <v>374.5</v>
      </c>
      <c r="Q513" s="10">
        <f>Parâmetros!$B$20*K513</f>
        <v>300</v>
      </c>
      <c r="R513" s="10">
        <f>P513-Q513</f>
        <v>74.5</v>
      </c>
    </row>
    <row r="514" spans="1:18">
      <c r="A514">
        <v>513</v>
      </c>
      <c r="B514" s="8">
        <v>45855</v>
      </c>
      <c r="C514" t="s">
        <v>6</v>
      </c>
      <c r="D514" t="s">
        <v>40</v>
      </c>
      <c r="E514" t="s">
        <v>55</v>
      </c>
      <c r="F514" t="s">
        <v>48</v>
      </c>
      <c r="G514" t="s">
        <v>44</v>
      </c>
      <c r="H514" t="s">
        <v>43</v>
      </c>
      <c r="I514" t="s">
        <v>44</v>
      </c>
      <c r="J514" t="s">
        <v>49</v>
      </c>
      <c r="K514" s="9">
        <v>4</v>
      </c>
      <c r="L514" s="10">
        <f>IFERROR(VLOOKUP(C514,Parâmetros!$A$5:$D$7,IF(D514="Mensal",2,IF(D514="Trimestral",3,4)),0),0)</f>
        <v>27</v>
      </c>
      <c r="M514" s="10">
        <f>IF(G514="Sim",VLOOKUP("EA Play",Parâmetros!$A$11:$B$13,2,0),0)*K514</f>
        <v>0</v>
      </c>
      <c r="N514" s="10">
        <f>IF(H514="Sim",VLOOKUP("Minecraft Pass",Parâmetros!$A$11:$B$13,2,0),0)*K514</f>
        <v>15.96</v>
      </c>
      <c r="O514" s="10">
        <f>IF(I514="Sim",VLOOKUP("Call of Duty Pass",Parâmetros!$A$11:$B$13,2,0),0)*K514</f>
        <v>0</v>
      </c>
      <c r="P514" s="10">
        <f>(L514*K514+M514+N514+O514)*IF(F514="Promoção",1-Parâmetros!$B$22,1)</f>
        <v>123.96000000000001</v>
      </c>
      <c r="Q514" s="10">
        <f>Parâmetros!$B$20*K514</f>
        <v>48</v>
      </c>
      <c r="R514" s="10">
        <f>P514-Q514</f>
        <v>75.960000000000008</v>
      </c>
    </row>
    <row r="515" spans="1:18">
      <c r="A515">
        <v>514</v>
      </c>
      <c r="B515" s="8">
        <v>45721</v>
      </c>
      <c r="C515" t="s">
        <v>6</v>
      </c>
      <c r="D515" t="s">
        <v>40</v>
      </c>
      <c r="E515" t="s">
        <v>53</v>
      </c>
      <c r="F515" t="s">
        <v>42</v>
      </c>
      <c r="G515" t="s">
        <v>43</v>
      </c>
      <c r="H515" t="s">
        <v>44</v>
      </c>
      <c r="I515" t="s">
        <v>44</v>
      </c>
      <c r="J515" t="s">
        <v>49</v>
      </c>
      <c r="K515" s="9">
        <v>17</v>
      </c>
      <c r="L515" s="10">
        <f>IFERROR(VLOOKUP(C515,Parâmetros!$A$5:$D$7,IF(D515="Mensal",2,IF(D515="Trimestral",3,4)),0),0)</f>
        <v>27</v>
      </c>
      <c r="M515" s="10">
        <f>IF(G515="Sim",VLOOKUP("EA Play",Parâmetros!$A$11:$B$13,2,0),0)*K515</f>
        <v>84.83</v>
      </c>
      <c r="N515" s="10">
        <f>IF(H515="Sim",VLOOKUP("Minecraft Pass",Parâmetros!$A$11:$B$13,2,0),0)*K515</f>
        <v>0</v>
      </c>
      <c r="O515" s="10">
        <f>IF(I515="Sim",VLOOKUP("Call of Duty Pass",Parâmetros!$A$11:$B$13,2,0),0)*K515</f>
        <v>0</v>
      </c>
      <c r="P515" s="10">
        <f>(L515*K515+M515+N515+O515)*IF(F515="Promoção",1-Parâmetros!$B$22,1)</f>
        <v>543.83000000000004</v>
      </c>
      <c r="Q515" s="10">
        <f>Parâmetros!$B$20*K515</f>
        <v>204</v>
      </c>
      <c r="R515" s="10">
        <f>P515-Q515</f>
        <v>339.83000000000004</v>
      </c>
    </row>
    <row r="516" spans="1:18">
      <c r="A516">
        <v>515</v>
      </c>
      <c r="B516" s="8">
        <v>45304</v>
      </c>
      <c r="C516" t="s">
        <v>7</v>
      </c>
      <c r="D516" t="s">
        <v>50</v>
      </c>
      <c r="E516" t="s">
        <v>47</v>
      </c>
      <c r="F516" t="s">
        <v>42</v>
      </c>
      <c r="G516" t="s">
        <v>44</v>
      </c>
      <c r="H516" t="s">
        <v>43</v>
      </c>
      <c r="I516" t="s">
        <v>44</v>
      </c>
      <c r="J516" t="s">
        <v>49</v>
      </c>
      <c r="K516" s="9">
        <v>27</v>
      </c>
      <c r="L516" s="10">
        <f>IFERROR(VLOOKUP(C516,Parâmetros!$A$5:$D$7,IF(D516="Mensal",2,IF(D516="Trimestral",3,4)),0),0)</f>
        <v>149</v>
      </c>
      <c r="M516" s="10">
        <f>IF(G516="Sim",VLOOKUP("EA Play",Parâmetros!$A$11:$B$13,2,0),0)*K516</f>
        <v>0</v>
      </c>
      <c r="N516" s="10">
        <f>IF(H516="Sim",VLOOKUP("Minecraft Pass",Parâmetros!$A$11:$B$13,2,0),0)*K516</f>
        <v>107.73</v>
      </c>
      <c r="O516" s="10">
        <f>IF(I516="Sim",VLOOKUP("Call of Duty Pass",Parâmetros!$A$11:$B$13,2,0),0)*K516</f>
        <v>0</v>
      </c>
      <c r="P516" s="10">
        <f>(L516*K516+M516+N516+O516)*IF(F516="Promoção",1-Parâmetros!$B$22,1)</f>
        <v>4130.7299999999996</v>
      </c>
      <c r="Q516" s="10">
        <f>Parâmetros!$B$20*K516</f>
        <v>324</v>
      </c>
      <c r="R516" s="10">
        <f>P516-Q516</f>
        <v>3806.7299999999996</v>
      </c>
    </row>
    <row r="517" spans="1:18">
      <c r="A517">
        <v>516</v>
      </c>
      <c r="B517" s="8">
        <v>45744</v>
      </c>
      <c r="C517" t="s">
        <v>6</v>
      </c>
      <c r="D517" t="s">
        <v>40</v>
      </c>
      <c r="E517" t="s">
        <v>41</v>
      </c>
      <c r="F517" t="s">
        <v>48</v>
      </c>
      <c r="G517" t="s">
        <v>44</v>
      </c>
      <c r="H517" t="s">
        <v>44</v>
      </c>
      <c r="I517" t="s">
        <v>44</v>
      </c>
      <c r="J517" t="s">
        <v>49</v>
      </c>
      <c r="K517" s="9">
        <v>10</v>
      </c>
      <c r="L517" s="10">
        <f>IFERROR(VLOOKUP(C517,Parâmetros!$A$5:$D$7,IF(D517="Mensal",2,IF(D517="Trimestral",3,4)),0),0)</f>
        <v>27</v>
      </c>
      <c r="M517" s="10">
        <f>IF(G517="Sim",VLOOKUP("EA Play",Parâmetros!$A$11:$B$13,2,0),0)*K517</f>
        <v>0</v>
      </c>
      <c r="N517" s="10">
        <f>IF(H517="Sim",VLOOKUP("Minecraft Pass",Parâmetros!$A$11:$B$13,2,0),0)*K517</f>
        <v>0</v>
      </c>
      <c r="O517" s="10">
        <f>IF(I517="Sim",VLOOKUP("Call of Duty Pass",Parâmetros!$A$11:$B$13,2,0),0)*K517</f>
        <v>0</v>
      </c>
      <c r="P517" s="10">
        <f>(L517*K517+M517+N517+O517)*IF(F517="Promoção",1-Parâmetros!$B$22,1)</f>
        <v>270</v>
      </c>
      <c r="Q517" s="10">
        <f>Parâmetros!$B$20*K517</f>
        <v>120</v>
      </c>
      <c r="R517" s="10">
        <f>P517-Q517</f>
        <v>150</v>
      </c>
    </row>
    <row r="518" spans="1:18">
      <c r="A518">
        <v>517</v>
      </c>
      <c r="B518" s="8">
        <v>45348</v>
      </c>
      <c r="C518" t="s">
        <v>7</v>
      </c>
      <c r="D518" t="s">
        <v>46</v>
      </c>
      <c r="E518" t="s">
        <v>55</v>
      </c>
      <c r="F518" t="s">
        <v>52</v>
      </c>
      <c r="G518" t="s">
        <v>44</v>
      </c>
      <c r="H518" t="s">
        <v>43</v>
      </c>
      <c r="I518" t="s">
        <v>44</v>
      </c>
      <c r="J518" t="s">
        <v>49</v>
      </c>
      <c r="K518" s="9">
        <v>27</v>
      </c>
      <c r="L518" s="10">
        <f>IFERROR(VLOOKUP(C518,Parâmetros!$A$5:$D$7,IF(D518="Mensal",2,IF(D518="Trimestral",3,4)),0),0)</f>
        <v>14.99</v>
      </c>
      <c r="M518" s="10">
        <f>IF(G518="Sim",VLOOKUP("EA Play",Parâmetros!$A$11:$B$13,2,0),0)*K518</f>
        <v>0</v>
      </c>
      <c r="N518" s="10">
        <f>IF(H518="Sim",VLOOKUP("Minecraft Pass",Parâmetros!$A$11:$B$13,2,0),0)*K518</f>
        <v>107.73</v>
      </c>
      <c r="O518" s="10">
        <f>IF(I518="Sim",VLOOKUP("Call of Duty Pass",Parâmetros!$A$11:$B$13,2,0),0)*K518</f>
        <v>0</v>
      </c>
      <c r="P518" s="10">
        <f>(L518*K518+M518+N518+O518)*IF(F518="Promoção",1-Parâmetros!$B$22,1)</f>
        <v>512.46</v>
      </c>
      <c r="Q518" s="10">
        <f>Parâmetros!$B$20*K518</f>
        <v>324</v>
      </c>
      <c r="R518" s="10">
        <f>P518-Q518</f>
        <v>188.46000000000004</v>
      </c>
    </row>
    <row r="519" spans="1:18">
      <c r="A519">
        <v>518</v>
      </c>
      <c r="B519" s="8">
        <v>45474</v>
      </c>
      <c r="C519" t="s">
        <v>6</v>
      </c>
      <c r="D519" t="s">
        <v>46</v>
      </c>
      <c r="E519" t="s">
        <v>51</v>
      </c>
      <c r="F519" t="s">
        <v>52</v>
      </c>
      <c r="G519" t="s">
        <v>44</v>
      </c>
      <c r="H519" t="s">
        <v>44</v>
      </c>
      <c r="I519" t="s">
        <v>44</v>
      </c>
      <c r="J519" t="s">
        <v>45</v>
      </c>
      <c r="K519" s="9">
        <v>24</v>
      </c>
      <c r="L519" s="10">
        <f>IFERROR(VLOOKUP(C519,Parâmetros!$A$5:$D$7,IF(D519="Mensal",2,IF(D519="Trimestral",3,4)),0),0)</f>
        <v>9.99</v>
      </c>
      <c r="M519" s="10">
        <f>IF(G519="Sim",VLOOKUP("EA Play",Parâmetros!$A$11:$B$13,2,0),0)*K519</f>
        <v>0</v>
      </c>
      <c r="N519" s="10">
        <f>IF(H519="Sim",VLOOKUP("Minecraft Pass",Parâmetros!$A$11:$B$13,2,0),0)*K519</f>
        <v>0</v>
      </c>
      <c r="O519" s="10">
        <f>IF(I519="Sim",VLOOKUP("Call of Duty Pass",Parâmetros!$A$11:$B$13,2,0),0)*K519</f>
        <v>0</v>
      </c>
      <c r="P519" s="10">
        <f>(L519*K519+M519+N519+O519)*IF(F519="Promoção",1-Parâmetros!$B$22,1)</f>
        <v>239.76</v>
      </c>
      <c r="Q519" s="10">
        <f>Parâmetros!$B$20*K519</f>
        <v>288</v>
      </c>
      <c r="R519" s="10">
        <f>P519-Q519</f>
        <v>-48.240000000000009</v>
      </c>
    </row>
    <row r="520" spans="1:18">
      <c r="A520">
        <v>519</v>
      </c>
      <c r="B520" s="8">
        <v>45328</v>
      </c>
      <c r="C520" t="s">
        <v>6</v>
      </c>
      <c r="D520" t="s">
        <v>46</v>
      </c>
      <c r="E520" t="s">
        <v>41</v>
      </c>
      <c r="F520" t="s">
        <v>42</v>
      </c>
      <c r="G520" t="s">
        <v>43</v>
      </c>
      <c r="H520" t="s">
        <v>44</v>
      </c>
      <c r="I520" t="s">
        <v>44</v>
      </c>
      <c r="J520" t="s">
        <v>49</v>
      </c>
      <c r="K520" s="9">
        <v>9</v>
      </c>
      <c r="L520" s="10">
        <f>IFERROR(VLOOKUP(C520,Parâmetros!$A$5:$D$7,IF(D520="Mensal",2,IF(D520="Trimestral",3,4)),0),0)</f>
        <v>9.99</v>
      </c>
      <c r="M520" s="10">
        <f>IF(G520="Sim",VLOOKUP("EA Play",Parâmetros!$A$11:$B$13,2,0),0)*K520</f>
        <v>44.910000000000004</v>
      </c>
      <c r="N520" s="10">
        <f>IF(H520="Sim",VLOOKUP("Minecraft Pass",Parâmetros!$A$11:$B$13,2,0),0)*K520</f>
        <v>0</v>
      </c>
      <c r="O520" s="10">
        <f>IF(I520="Sim",VLOOKUP("Call of Duty Pass",Parâmetros!$A$11:$B$13,2,0),0)*K520</f>
        <v>0</v>
      </c>
      <c r="P520" s="10">
        <f>(L520*K520+M520+N520+O520)*IF(F520="Promoção",1-Parâmetros!$B$22,1)</f>
        <v>134.82</v>
      </c>
      <c r="Q520" s="10">
        <f>Parâmetros!$B$20*K520</f>
        <v>108</v>
      </c>
      <c r="R520" s="10">
        <f>P520-Q520</f>
        <v>26.819999999999993</v>
      </c>
    </row>
    <row r="521" spans="1:18">
      <c r="A521">
        <v>520</v>
      </c>
      <c r="B521" s="8">
        <v>45416</v>
      </c>
      <c r="C521" t="s">
        <v>7</v>
      </c>
      <c r="D521" t="s">
        <v>46</v>
      </c>
      <c r="E521" t="s">
        <v>47</v>
      </c>
      <c r="F521" t="s">
        <v>48</v>
      </c>
      <c r="G521" t="s">
        <v>44</v>
      </c>
      <c r="H521" t="s">
        <v>44</v>
      </c>
      <c r="I521" t="s">
        <v>43</v>
      </c>
      <c r="J521" t="s">
        <v>45</v>
      </c>
      <c r="K521" s="9">
        <v>34</v>
      </c>
      <c r="L521" s="10">
        <f>IFERROR(VLOOKUP(C521,Parâmetros!$A$5:$D$7,IF(D521="Mensal",2,IF(D521="Trimestral",3,4)),0),0)</f>
        <v>14.99</v>
      </c>
      <c r="M521" s="10">
        <f>IF(G521="Sim",VLOOKUP("EA Play",Parâmetros!$A$11:$B$13,2,0),0)*K521</f>
        <v>0</v>
      </c>
      <c r="N521" s="10">
        <f>IF(H521="Sim",VLOOKUP("Minecraft Pass",Parâmetros!$A$11:$B$13,2,0),0)*K521</f>
        <v>0</v>
      </c>
      <c r="O521" s="10">
        <f>IF(I521="Sim",VLOOKUP("Call of Duty Pass",Parâmetros!$A$11:$B$13,2,0),0)*K521</f>
        <v>237.66</v>
      </c>
      <c r="P521" s="10">
        <f>(L521*K521+M521+N521+O521)*IF(F521="Promoção",1-Parâmetros!$B$22,1)</f>
        <v>747.32</v>
      </c>
      <c r="Q521" s="10">
        <f>Parâmetros!$B$20*K521</f>
        <v>408</v>
      </c>
      <c r="R521" s="10">
        <f>P521-Q521</f>
        <v>339.32000000000005</v>
      </c>
    </row>
    <row r="522" spans="1:18">
      <c r="A522">
        <v>521</v>
      </c>
      <c r="B522" s="8">
        <v>45381</v>
      </c>
      <c r="C522" t="s">
        <v>7</v>
      </c>
      <c r="D522" t="s">
        <v>40</v>
      </c>
      <c r="E522" t="s">
        <v>55</v>
      </c>
      <c r="F522" t="s">
        <v>54</v>
      </c>
      <c r="G522" t="s">
        <v>43</v>
      </c>
      <c r="H522" t="s">
        <v>44</v>
      </c>
      <c r="I522" t="s">
        <v>44</v>
      </c>
      <c r="J522" t="s">
        <v>49</v>
      </c>
      <c r="K522" s="9">
        <v>23</v>
      </c>
      <c r="L522" s="10">
        <f>IFERROR(VLOOKUP(C522,Parâmetros!$A$5:$D$7,IF(D522="Mensal",2,IF(D522="Trimestral",3,4)),0),0)</f>
        <v>40</v>
      </c>
      <c r="M522" s="10">
        <f>IF(G522="Sim",VLOOKUP("EA Play",Parâmetros!$A$11:$B$13,2,0),0)*K522</f>
        <v>114.77000000000001</v>
      </c>
      <c r="N522" s="10">
        <f>IF(H522="Sim",VLOOKUP("Minecraft Pass",Parâmetros!$A$11:$B$13,2,0),0)*K522</f>
        <v>0</v>
      </c>
      <c r="O522" s="10">
        <f>IF(I522="Sim",VLOOKUP("Call of Duty Pass",Parâmetros!$A$11:$B$13,2,0),0)*K522</f>
        <v>0</v>
      </c>
      <c r="P522" s="10">
        <f>(L522*K522+M522+N522+O522)*IF(F522="Promoção",1-Parâmetros!$B$22,1)</f>
        <v>931.29300000000001</v>
      </c>
      <c r="Q522" s="10">
        <f>Parâmetros!$B$20*K522</f>
        <v>276</v>
      </c>
      <c r="R522" s="10">
        <f>P522-Q522</f>
        <v>655.29300000000001</v>
      </c>
    </row>
    <row r="523" spans="1:18">
      <c r="A523">
        <v>522</v>
      </c>
      <c r="B523" s="8">
        <v>45424</v>
      </c>
      <c r="C523" t="s">
        <v>7</v>
      </c>
      <c r="D523" t="s">
        <v>46</v>
      </c>
      <c r="E523" t="s">
        <v>51</v>
      </c>
      <c r="F523" t="s">
        <v>48</v>
      </c>
      <c r="G523" t="s">
        <v>44</v>
      </c>
      <c r="H523" t="s">
        <v>44</v>
      </c>
      <c r="I523" t="s">
        <v>43</v>
      </c>
      <c r="J523" t="s">
        <v>49</v>
      </c>
      <c r="K523" s="9">
        <v>13</v>
      </c>
      <c r="L523" s="10">
        <f>IFERROR(VLOOKUP(C523,Parâmetros!$A$5:$D$7,IF(D523="Mensal",2,IF(D523="Trimestral",3,4)),0),0)</f>
        <v>14.99</v>
      </c>
      <c r="M523" s="10">
        <f>IF(G523="Sim",VLOOKUP("EA Play",Parâmetros!$A$11:$B$13,2,0),0)*K523</f>
        <v>0</v>
      </c>
      <c r="N523" s="10">
        <f>IF(H523="Sim",VLOOKUP("Minecraft Pass",Parâmetros!$A$11:$B$13,2,0),0)*K523</f>
        <v>0</v>
      </c>
      <c r="O523" s="10">
        <f>IF(I523="Sim",VLOOKUP("Call of Duty Pass",Parâmetros!$A$11:$B$13,2,0),0)*K523</f>
        <v>90.87</v>
      </c>
      <c r="P523" s="10">
        <f>(L523*K523+M523+N523+O523)*IF(F523="Promoção",1-Parâmetros!$B$22,1)</f>
        <v>285.74</v>
      </c>
      <c r="Q523" s="10">
        <f>Parâmetros!$B$20*K523</f>
        <v>156</v>
      </c>
      <c r="R523" s="10">
        <f>P523-Q523</f>
        <v>129.74</v>
      </c>
    </row>
    <row r="524" spans="1:18">
      <c r="A524">
        <v>523</v>
      </c>
      <c r="B524" s="8">
        <v>45293</v>
      </c>
      <c r="C524" t="s">
        <v>6</v>
      </c>
      <c r="D524" t="s">
        <v>46</v>
      </c>
      <c r="E524" t="s">
        <v>51</v>
      </c>
      <c r="F524" t="s">
        <v>52</v>
      </c>
      <c r="G524" t="s">
        <v>43</v>
      </c>
      <c r="H524" t="s">
        <v>44</v>
      </c>
      <c r="I524" t="s">
        <v>44</v>
      </c>
      <c r="J524" t="s">
        <v>49</v>
      </c>
      <c r="K524" s="9">
        <v>23</v>
      </c>
      <c r="L524" s="10">
        <f>IFERROR(VLOOKUP(C524,Parâmetros!$A$5:$D$7,IF(D524="Mensal",2,IF(D524="Trimestral",3,4)),0),0)</f>
        <v>9.99</v>
      </c>
      <c r="M524" s="10">
        <f>IF(G524="Sim",VLOOKUP("EA Play",Parâmetros!$A$11:$B$13,2,0),0)*K524</f>
        <v>114.77000000000001</v>
      </c>
      <c r="N524" s="10">
        <f>IF(H524="Sim",VLOOKUP("Minecraft Pass",Parâmetros!$A$11:$B$13,2,0),0)*K524</f>
        <v>0</v>
      </c>
      <c r="O524" s="10">
        <f>IF(I524="Sim",VLOOKUP("Call of Duty Pass",Parâmetros!$A$11:$B$13,2,0),0)*K524</f>
        <v>0</v>
      </c>
      <c r="P524" s="10">
        <f>(L524*K524+M524+N524+O524)*IF(F524="Promoção",1-Parâmetros!$B$22,1)</f>
        <v>344.54</v>
      </c>
      <c r="Q524" s="10">
        <f>Parâmetros!$B$20*K524</f>
        <v>276</v>
      </c>
      <c r="R524" s="10">
        <f>P524-Q524</f>
        <v>68.54000000000002</v>
      </c>
    </row>
    <row r="525" spans="1:18">
      <c r="A525">
        <v>524</v>
      </c>
      <c r="B525" s="8">
        <v>45865</v>
      </c>
      <c r="C525" t="s">
        <v>8</v>
      </c>
      <c r="D525" t="s">
        <v>46</v>
      </c>
      <c r="E525" t="s">
        <v>51</v>
      </c>
      <c r="F525" t="s">
        <v>52</v>
      </c>
      <c r="G525" t="s">
        <v>43</v>
      </c>
      <c r="H525" t="s">
        <v>43</v>
      </c>
      <c r="I525" t="s">
        <v>44</v>
      </c>
      <c r="J525" t="s">
        <v>49</v>
      </c>
      <c r="K525" s="9">
        <v>1</v>
      </c>
      <c r="L525" s="10">
        <f>IFERROR(VLOOKUP(C525,Parâmetros!$A$5:$D$7,IF(D525="Mensal",2,IF(D525="Trimestral",3,4)),0),0)</f>
        <v>21.99</v>
      </c>
      <c r="M525" s="10">
        <f>IF(G525="Sim",VLOOKUP("EA Play",Parâmetros!$A$11:$B$13,2,0),0)*K525</f>
        <v>4.99</v>
      </c>
      <c r="N525" s="10">
        <f>IF(H525="Sim",VLOOKUP("Minecraft Pass",Parâmetros!$A$11:$B$13,2,0),0)*K525</f>
        <v>3.99</v>
      </c>
      <c r="O525" s="10">
        <f>IF(I525="Sim",VLOOKUP("Call of Duty Pass",Parâmetros!$A$11:$B$13,2,0),0)*K525</f>
        <v>0</v>
      </c>
      <c r="P525" s="10">
        <f>(L525*K525+M525+N525+O525)*IF(F525="Promoção",1-Parâmetros!$B$22,1)</f>
        <v>30.97</v>
      </c>
      <c r="Q525" s="10">
        <f>Parâmetros!$B$20*K525</f>
        <v>12</v>
      </c>
      <c r="R525" s="10">
        <f>P525-Q525</f>
        <v>18.97</v>
      </c>
    </row>
    <row r="526" spans="1:18">
      <c r="A526">
        <v>525</v>
      </c>
      <c r="B526" s="8">
        <v>45408</v>
      </c>
      <c r="C526" t="s">
        <v>7</v>
      </c>
      <c r="D526" t="s">
        <v>46</v>
      </c>
      <c r="E526" t="s">
        <v>51</v>
      </c>
      <c r="F526" t="s">
        <v>52</v>
      </c>
      <c r="G526" t="s">
        <v>43</v>
      </c>
      <c r="H526" t="s">
        <v>43</v>
      </c>
      <c r="I526" t="s">
        <v>44</v>
      </c>
      <c r="J526" t="s">
        <v>49</v>
      </c>
      <c r="K526" s="9">
        <v>31</v>
      </c>
      <c r="L526" s="10">
        <f>IFERROR(VLOOKUP(C526,Parâmetros!$A$5:$D$7,IF(D526="Mensal",2,IF(D526="Trimestral",3,4)),0),0)</f>
        <v>14.99</v>
      </c>
      <c r="M526" s="10">
        <f>IF(G526="Sim",VLOOKUP("EA Play",Parâmetros!$A$11:$B$13,2,0),0)*K526</f>
        <v>154.69</v>
      </c>
      <c r="N526" s="10">
        <f>IF(H526="Sim",VLOOKUP("Minecraft Pass",Parâmetros!$A$11:$B$13,2,0),0)*K526</f>
        <v>123.69000000000001</v>
      </c>
      <c r="O526" s="10">
        <f>IF(I526="Sim",VLOOKUP("Call of Duty Pass",Parâmetros!$A$11:$B$13,2,0),0)*K526</f>
        <v>0</v>
      </c>
      <c r="P526" s="10">
        <f>(L526*K526+M526+N526+O526)*IF(F526="Promoção",1-Parâmetros!$B$22,1)</f>
        <v>743.07</v>
      </c>
      <c r="Q526" s="10">
        <f>Parâmetros!$B$20*K526</f>
        <v>372</v>
      </c>
      <c r="R526" s="10">
        <f>P526-Q526</f>
        <v>371.07000000000005</v>
      </c>
    </row>
    <row r="527" spans="1:18">
      <c r="A527">
        <v>526</v>
      </c>
      <c r="B527" s="8">
        <v>45777</v>
      </c>
      <c r="C527" t="s">
        <v>8</v>
      </c>
      <c r="D527" t="s">
        <v>40</v>
      </c>
      <c r="E527" t="s">
        <v>47</v>
      </c>
      <c r="F527" t="s">
        <v>52</v>
      </c>
      <c r="G527" t="s">
        <v>44</v>
      </c>
      <c r="H527" t="s">
        <v>44</v>
      </c>
      <c r="I527" t="s">
        <v>44</v>
      </c>
      <c r="J527" t="s">
        <v>45</v>
      </c>
      <c r="K527" s="9">
        <v>27</v>
      </c>
      <c r="L527" s="10">
        <f>IFERROR(VLOOKUP(C527,Parâmetros!$A$5:$D$7,IF(D527="Mensal",2,IF(D527="Trimestral",3,4)),0),0)</f>
        <v>59</v>
      </c>
      <c r="M527" s="10">
        <f>IF(G527="Sim",VLOOKUP("EA Play",Parâmetros!$A$11:$B$13,2,0),0)*K527</f>
        <v>0</v>
      </c>
      <c r="N527" s="10">
        <f>IF(H527="Sim",VLOOKUP("Minecraft Pass",Parâmetros!$A$11:$B$13,2,0),0)*K527</f>
        <v>0</v>
      </c>
      <c r="O527" s="10">
        <f>IF(I527="Sim",VLOOKUP("Call of Duty Pass",Parâmetros!$A$11:$B$13,2,0),0)*K527</f>
        <v>0</v>
      </c>
      <c r="P527" s="10">
        <f>(L527*K527+M527+N527+O527)*IF(F527="Promoção",1-Parâmetros!$B$22,1)</f>
        <v>1593</v>
      </c>
      <c r="Q527" s="10">
        <f>Parâmetros!$B$20*K527</f>
        <v>324</v>
      </c>
      <c r="R527" s="10">
        <f>P527-Q527</f>
        <v>1269</v>
      </c>
    </row>
    <row r="528" spans="1:18">
      <c r="A528">
        <v>527</v>
      </c>
      <c r="B528" s="8">
        <v>45349</v>
      </c>
      <c r="C528" t="s">
        <v>8</v>
      </c>
      <c r="D528" t="s">
        <v>46</v>
      </c>
      <c r="E528" t="s">
        <v>51</v>
      </c>
      <c r="F528" t="s">
        <v>42</v>
      </c>
      <c r="G528" t="s">
        <v>44</v>
      </c>
      <c r="H528" t="s">
        <v>43</v>
      </c>
      <c r="I528" t="s">
        <v>44</v>
      </c>
      <c r="J528" t="s">
        <v>45</v>
      </c>
      <c r="K528" s="9">
        <v>23</v>
      </c>
      <c r="L528" s="10">
        <f>IFERROR(VLOOKUP(C528,Parâmetros!$A$5:$D$7,IF(D528="Mensal",2,IF(D528="Trimestral",3,4)),0),0)</f>
        <v>21.99</v>
      </c>
      <c r="M528" s="10">
        <f>IF(G528="Sim",VLOOKUP("EA Play",Parâmetros!$A$11:$B$13,2,0),0)*K528</f>
        <v>0</v>
      </c>
      <c r="N528" s="10">
        <f>IF(H528="Sim",VLOOKUP("Minecraft Pass",Parâmetros!$A$11:$B$13,2,0),0)*K528</f>
        <v>91.77000000000001</v>
      </c>
      <c r="O528" s="10">
        <f>IF(I528="Sim",VLOOKUP("Call of Duty Pass",Parâmetros!$A$11:$B$13,2,0),0)*K528</f>
        <v>0</v>
      </c>
      <c r="P528" s="10">
        <f>(L528*K528+M528+N528+O528)*IF(F528="Promoção",1-Parâmetros!$B$22,1)</f>
        <v>597.54</v>
      </c>
      <c r="Q528" s="10">
        <f>Parâmetros!$B$20*K528</f>
        <v>276</v>
      </c>
      <c r="R528" s="10">
        <f>P528-Q528</f>
        <v>321.53999999999996</v>
      </c>
    </row>
    <row r="529" spans="1:18">
      <c r="A529">
        <v>528</v>
      </c>
      <c r="B529" s="8">
        <v>45359</v>
      </c>
      <c r="C529" t="s">
        <v>8</v>
      </c>
      <c r="D529" t="s">
        <v>46</v>
      </c>
      <c r="E529" t="s">
        <v>41</v>
      </c>
      <c r="F529" t="s">
        <v>54</v>
      </c>
      <c r="G529" t="s">
        <v>44</v>
      </c>
      <c r="H529" t="s">
        <v>44</v>
      </c>
      <c r="I529" t="s">
        <v>44</v>
      </c>
      <c r="J529" t="s">
        <v>49</v>
      </c>
      <c r="K529" s="9">
        <v>8</v>
      </c>
      <c r="L529" s="10">
        <f>IFERROR(VLOOKUP(C529,Parâmetros!$A$5:$D$7,IF(D529="Mensal",2,IF(D529="Trimestral",3,4)),0),0)</f>
        <v>21.99</v>
      </c>
      <c r="M529" s="10">
        <f>IF(G529="Sim",VLOOKUP("EA Play",Parâmetros!$A$11:$B$13,2,0),0)*K529</f>
        <v>0</v>
      </c>
      <c r="N529" s="10">
        <f>IF(H529="Sim",VLOOKUP("Minecraft Pass",Parâmetros!$A$11:$B$13,2,0),0)*K529</f>
        <v>0</v>
      </c>
      <c r="O529" s="10">
        <f>IF(I529="Sim",VLOOKUP("Call of Duty Pass",Parâmetros!$A$11:$B$13,2,0),0)*K529</f>
        <v>0</v>
      </c>
      <c r="P529" s="10">
        <f>(L529*K529+M529+N529+O529)*IF(F529="Promoção",1-Parâmetros!$B$22,1)</f>
        <v>158.328</v>
      </c>
      <c r="Q529" s="10">
        <f>Parâmetros!$B$20*K529</f>
        <v>96</v>
      </c>
      <c r="R529" s="10">
        <f>P529-Q529</f>
        <v>62.328000000000003</v>
      </c>
    </row>
    <row r="530" spans="1:18">
      <c r="A530">
        <v>529</v>
      </c>
      <c r="B530" s="8">
        <v>45607</v>
      </c>
      <c r="C530" t="s">
        <v>7</v>
      </c>
      <c r="D530" t="s">
        <v>46</v>
      </c>
      <c r="E530" t="s">
        <v>41</v>
      </c>
      <c r="F530" t="s">
        <v>48</v>
      </c>
      <c r="G530" t="s">
        <v>44</v>
      </c>
      <c r="H530" t="s">
        <v>43</v>
      </c>
      <c r="I530" t="s">
        <v>44</v>
      </c>
      <c r="J530" t="s">
        <v>45</v>
      </c>
      <c r="K530" s="9">
        <v>14</v>
      </c>
      <c r="L530" s="10">
        <f>IFERROR(VLOOKUP(C530,Parâmetros!$A$5:$D$7,IF(D530="Mensal",2,IF(D530="Trimestral",3,4)),0),0)</f>
        <v>14.99</v>
      </c>
      <c r="M530" s="10">
        <f>IF(G530="Sim",VLOOKUP("EA Play",Parâmetros!$A$11:$B$13,2,0),0)*K530</f>
        <v>0</v>
      </c>
      <c r="N530" s="10">
        <f>IF(H530="Sim",VLOOKUP("Minecraft Pass",Parâmetros!$A$11:$B$13,2,0),0)*K530</f>
        <v>55.86</v>
      </c>
      <c r="O530" s="10">
        <f>IF(I530="Sim",VLOOKUP("Call of Duty Pass",Parâmetros!$A$11:$B$13,2,0),0)*K530</f>
        <v>0</v>
      </c>
      <c r="P530" s="10">
        <f>(L530*K530+M530+N530+O530)*IF(F530="Promoção",1-Parâmetros!$B$22,1)</f>
        <v>265.72000000000003</v>
      </c>
      <c r="Q530" s="10">
        <f>Parâmetros!$B$20*K530</f>
        <v>168</v>
      </c>
      <c r="R530" s="10">
        <f>P530-Q530</f>
        <v>97.720000000000027</v>
      </c>
    </row>
    <row r="531" spans="1:18">
      <c r="A531">
        <v>530</v>
      </c>
      <c r="B531" s="8">
        <v>45829</v>
      </c>
      <c r="C531" t="s">
        <v>6</v>
      </c>
      <c r="D531" t="s">
        <v>46</v>
      </c>
      <c r="E531" t="s">
        <v>51</v>
      </c>
      <c r="F531" t="s">
        <v>52</v>
      </c>
      <c r="G531" t="s">
        <v>44</v>
      </c>
      <c r="H531" t="s">
        <v>44</v>
      </c>
      <c r="I531" t="s">
        <v>43</v>
      </c>
      <c r="J531" t="s">
        <v>49</v>
      </c>
      <c r="K531" s="9">
        <v>33</v>
      </c>
      <c r="L531" s="10">
        <f>IFERROR(VLOOKUP(C531,Parâmetros!$A$5:$D$7,IF(D531="Mensal",2,IF(D531="Trimestral",3,4)),0),0)</f>
        <v>9.99</v>
      </c>
      <c r="M531" s="10">
        <f>IF(G531="Sim",VLOOKUP("EA Play",Parâmetros!$A$11:$B$13,2,0),0)*K531</f>
        <v>0</v>
      </c>
      <c r="N531" s="10">
        <f>IF(H531="Sim",VLOOKUP("Minecraft Pass",Parâmetros!$A$11:$B$13,2,0),0)*K531</f>
        <v>0</v>
      </c>
      <c r="O531" s="10">
        <f>IF(I531="Sim",VLOOKUP("Call of Duty Pass",Parâmetros!$A$11:$B$13,2,0),0)*K531</f>
        <v>230.67000000000002</v>
      </c>
      <c r="P531" s="10">
        <f>(L531*K531+M531+N531+O531)*IF(F531="Promoção",1-Parâmetros!$B$22,1)</f>
        <v>560.34</v>
      </c>
      <c r="Q531" s="10">
        <f>Parâmetros!$B$20*K531</f>
        <v>396</v>
      </c>
      <c r="R531" s="10">
        <f>P531-Q531</f>
        <v>164.34000000000003</v>
      </c>
    </row>
    <row r="532" spans="1:18">
      <c r="A532">
        <v>531</v>
      </c>
      <c r="B532" s="8">
        <v>45449</v>
      </c>
      <c r="C532" t="s">
        <v>6</v>
      </c>
      <c r="D532" t="s">
        <v>50</v>
      </c>
      <c r="E532" t="s">
        <v>51</v>
      </c>
      <c r="F532" t="s">
        <v>48</v>
      </c>
      <c r="G532" t="s">
        <v>44</v>
      </c>
      <c r="H532" t="s">
        <v>43</v>
      </c>
      <c r="I532" t="s">
        <v>44</v>
      </c>
      <c r="J532" t="s">
        <v>45</v>
      </c>
      <c r="K532" s="9">
        <v>34</v>
      </c>
      <c r="L532" s="10">
        <f>IFERROR(VLOOKUP(C532,Parâmetros!$A$5:$D$7,IF(D532="Mensal",2,IF(D532="Trimestral",3,4)),0),0)</f>
        <v>99</v>
      </c>
      <c r="M532" s="10">
        <f>IF(G532="Sim",VLOOKUP("EA Play",Parâmetros!$A$11:$B$13,2,0),0)*K532</f>
        <v>0</v>
      </c>
      <c r="N532" s="10">
        <f>IF(H532="Sim",VLOOKUP("Minecraft Pass",Parâmetros!$A$11:$B$13,2,0),0)*K532</f>
        <v>135.66</v>
      </c>
      <c r="O532" s="10">
        <f>IF(I532="Sim",VLOOKUP("Call of Duty Pass",Parâmetros!$A$11:$B$13,2,0),0)*K532</f>
        <v>0</v>
      </c>
      <c r="P532" s="10">
        <f>(L532*K532+M532+N532+O532)*IF(F532="Promoção",1-Parâmetros!$B$22,1)</f>
        <v>3501.66</v>
      </c>
      <c r="Q532" s="10">
        <f>Parâmetros!$B$20*K532</f>
        <v>408</v>
      </c>
      <c r="R532" s="10">
        <f>P532-Q532</f>
        <v>3093.66</v>
      </c>
    </row>
    <row r="533" spans="1:18">
      <c r="A533">
        <v>532</v>
      </c>
      <c r="B533" s="8">
        <v>45984</v>
      </c>
      <c r="C533" t="s">
        <v>8</v>
      </c>
      <c r="D533" t="s">
        <v>46</v>
      </c>
      <c r="E533" t="s">
        <v>41</v>
      </c>
      <c r="F533" t="s">
        <v>42</v>
      </c>
      <c r="G533" t="s">
        <v>44</v>
      </c>
      <c r="H533" t="s">
        <v>43</v>
      </c>
      <c r="I533" t="s">
        <v>44</v>
      </c>
      <c r="J533" t="s">
        <v>49</v>
      </c>
      <c r="K533" s="9">
        <v>6</v>
      </c>
      <c r="L533" s="10">
        <f>IFERROR(VLOOKUP(C533,Parâmetros!$A$5:$D$7,IF(D533="Mensal",2,IF(D533="Trimestral",3,4)),0),0)</f>
        <v>21.99</v>
      </c>
      <c r="M533" s="10">
        <f>IF(G533="Sim",VLOOKUP("EA Play",Parâmetros!$A$11:$B$13,2,0),0)*K533</f>
        <v>0</v>
      </c>
      <c r="N533" s="10">
        <f>IF(H533="Sim",VLOOKUP("Minecraft Pass",Parâmetros!$A$11:$B$13,2,0),0)*K533</f>
        <v>23.94</v>
      </c>
      <c r="O533" s="10">
        <f>IF(I533="Sim",VLOOKUP("Call of Duty Pass",Parâmetros!$A$11:$B$13,2,0),0)*K533</f>
        <v>0</v>
      </c>
      <c r="P533" s="10">
        <f>(L533*K533+M533+N533+O533)*IF(F533="Promoção",1-Parâmetros!$B$22,1)</f>
        <v>155.88</v>
      </c>
      <c r="Q533" s="10">
        <f>Parâmetros!$B$20*K533</f>
        <v>72</v>
      </c>
      <c r="R533" s="10">
        <f>P533-Q533</f>
        <v>83.88</v>
      </c>
    </row>
    <row r="534" spans="1:18">
      <c r="A534">
        <v>533</v>
      </c>
      <c r="B534" s="8">
        <v>45633</v>
      </c>
      <c r="C534" t="s">
        <v>7</v>
      </c>
      <c r="D534" t="s">
        <v>46</v>
      </c>
      <c r="E534" t="s">
        <v>47</v>
      </c>
      <c r="F534" t="s">
        <v>52</v>
      </c>
      <c r="G534" t="s">
        <v>43</v>
      </c>
      <c r="H534" t="s">
        <v>44</v>
      </c>
      <c r="I534" t="s">
        <v>44</v>
      </c>
      <c r="J534" t="s">
        <v>45</v>
      </c>
      <c r="K534" s="9">
        <v>21</v>
      </c>
      <c r="L534" s="10">
        <f>IFERROR(VLOOKUP(C534,Parâmetros!$A$5:$D$7,IF(D534="Mensal",2,IF(D534="Trimestral",3,4)),0),0)</f>
        <v>14.99</v>
      </c>
      <c r="M534" s="10">
        <f>IF(G534="Sim",VLOOKUP("EA Play",Parâmetros!$A$11:$B$13,2,0),0)*K534</f>
        <v>104.79</v>
      </c>
      <c r="N534" s="10">
        <f>IF(H534="Sim",VLOOKUP("Minecraft Pass",Parâmetros!$A$11:$B$13,2,0),0)*K534</f>
        <v>0</v>
      </c>
      <c r="O534" s="10">
        <f>IF(I534="Sim",VLOOKUP("Call of Duty Pass",Parâmetros!$A$11:$B$13,2,0),0)*K534</f>
        <v>0</v>
      </c>
      <c r="P534" s="10">
        <f>(L534*K534+M534+N534+O534)*IF(F534="Promoção",1-Parâmetros!$B$22,1)</f>
        <v>419.58000000000004</v>
      </c>
      <c r="Q534" s="10">
        <f>Parâmetros!$B$20*K534</f>
        <v>252</v>
      </c>
      <c r="R534" s="10">
        <f>P534-Q534</f>
        <v>167.58000000000004</v>
      </c>
    </row>
    <row r="535" spans="1:18">
      <c r="A535">
        <v>534</v>
      </c>
      <c r="B535" s="8">
        <v>45497</v>
      </c>
      <c r="C535" t="s">
        <v>6</v>
      </c>
      <c r="D535" t="s">
        <v>46</v>
      </c>
      <c r="E535" t="s">
        <v>41</v>
      </c>
      <c r="F535" t="s">
        <v>48</v>
      </c>
      <c r="G535" t="s">
        <v>43</v>
      </c>
      <c r="H535" t="s">
        <v>43</v>
      </c>
      <c r="I535" t="s">
        <v>43</v>
      </c>
      <c r="J535" t="s">
        <v>49</v>
      </c>
      <c r="K535" s="9">
        <v>33</v>
      </c>
      <c r="L535" s="10">
        <f>IFERROR(VLOOKUP(C535,Parâmetros!$A$5:$D$7,IF(D535="Mensal",2,IF(D535="Trimestral",3,4)),0),0)</f>
        <v>9.99</v>
      </c>
      <c r="M535" s="10">
        <f>IF(G535="Sim",VLOOKUP("EA Play",Parâmetros!$A$11:$B$13,2,0),0)*K535</f>
        <v>164.67000000000002</v>
      </c>
      <c r="N535" s="10">
        <f>IF(H535="Sim",VLOOKUP("Minecraft Pass",Parâmetros!$A$11:$B$13,2,0),0)*K535</f>
        <v>131.67000000000002</v>
      </c>
      <c r="O535" s="10">
        <f>IF(I535="Sim",VLOOKUP("Call of Duty Pass",Parâmetros!$A$11:$B$13,2,0),0)*K535</f>
        <v>230.67000000000002</v>
      </c>
      <c r="P535" s="10">
        <f>(L535*K535+M535+N535+O535)*IF(F535="Promoção",1-Parâmetros!$B$22,1)</f>
        <v>856.68000000000006</v>
      </c>
      <c r="Q535" s="10">
        <f>Parâmetros!$B$20*K535</f>
        <v>396</v>
      </c>
      <c r="R535" s="10">
        <f>P535-Q535</f>
        <v>460.68000000000006</v>
      </c>
    </row>
    <row r="536" spans="1:18">
      <c r="A536">
        <v>535</v>
      </c>
      <c r="B536" s="8">
        <v>45396</v>
      </c>
      <c r="C536" t="s">
        <v>6</v>
      </c>
      <c r="D536" t="s">
        <v>46</v>
      </c>
      <c r="E536" t="s">
        <v>41</v>
      </c>
      <c r="F536" t="s">
        <v>42</v>
      </c>
      <c r="G536" t="s">
        <v>44</v>
      </c>
      <c r="H536" t="s">
        <v>43</v>
      </c>
      <c r="I536" t="s">
        <v>43</v>
      </c>
      <c r="J536" t="s">
        <v>49</v>
      </c>
      <c r="K536" s="9">
        <v>22</v>
      </c>
      <c r="L536" s="10">
        <f>IFERROR(VLOOKUP(C536,Parâmetros!$A$5:$D$7,IF(D536="Mensal",2,IF(D536="Trimestral",3,4)),0),0)</f>
        <v>9.99</v>
      </c>
      <c r="M536" s="10">
        <f>IF(G536="Sim",VLOOKUP("EA Play",Parâmetros!$A$11:$B$13,2,0),0)*K536</f>
        <v>0</v>
      </c>
      <c r="N536" s="10">
        <f>IF(H536="Sim",VLOOKUP("Minecraft Pass",Parâmetros!$A$11:$B$13,2,0),0)*K536</f>
        <v>87.78</v>
      </c>
      <c r="O536" s="10">
        <f>IF(I536="Sim",VLOOKUP("Call of Duty Pass",Parâmetros!$A$11:$B$13,2,0),0)*K536</f>
        <v>153.78</v>
      </c>
      <c r="P536" s="10">
        <f>(L536*K536+M536+N536+O536)*IF(F536="Promoção",1-Parâmetros!$B$22,1)</f>
        <v>461.34000000000003</v>
      </c>
      <c r="Q536" s="10">
        <f>Parâmetros!$B$20*K536</f>
        <v>264</v>
      </c>
      <c r="R536" s="10">
        <f>P536-Q536</f>
        <v>197.34000000000003</v>
      </c>
    </row>
    <row r="537" spans="1:18">
      <c r="A537">
        <v>536</v>
      </c>
      <c r="B537" s="8">
        <v>45845</v>
      </c>
      <c r="C537" t="s">
        <v>7</v>
      </c>
      <c r="D537" t="s">
        <v>46</v>
      </c>
      <c r="E537" t="s">
        <v>47</v>
      </c>
      <c r="F537" t="s">
        <v>52</v>
      </c>
      <c r="G537" t="s">
        <v>43</v>
      </c>
      <c r="H537" t="s">
        <v>43</v>
      </c>
      <c r="I537" t="s">
        <v>44</v>
      </c>
      <c r="J537" t="s">
        <v>49</v>
      </c>
      <c r="K537" s="9">
        <v>29</v>
      </c>
      <c r="L537" s="10">
        <f>IFERROR(VLOOKUP(C537,Parâmetros!$A$5:$D$7,IF(D537="Mensal",2,IF(D537="Trimestral",3,4)),0),0)</f>
        <v>14.99</v>
      </c>
      <c r="M537" s="10">
        <f>IF(G537="Sim",VLOOKUP("EA Play",Parâmetros!$A$11:$B$13,2,0),0)*K537</f>
        <v>144.71</v>
      </c>
      <c r="N537" s="10">
        <f>IF(H537="Sim",VLOOKUP("Minecraft Pass",Parâmetros!$A$11:$B$13,2,0),0)*K537</f>
        <v>115.71000000000001</v>
      </c>
      <c r="O537" s="10">
        <f>IF(I537="Sim",VLOOKUP("Call of Duty Pass",Parâmetros!$A$11:$B$13,2,0),0)*K537</f>
        <v>0</v>
      </c>
      <c r="P537" s="10">
        <f>(L537*K537+M537+N537+O537)*IF(F537="Promoção",1-Parâmetros!$B$22,1)</f>
        <v>695.13</v>
      </c>
      <c r="Q537" s="10">
        <f>Parâmetros!$B$20*K537</f>
        <v>348</v>
      </c>
      <c r="R537" s="10">
        <f>P537-Q537</f>
        <v>347.13</v>
      </c>
    </row>
    <row r="538" spans="1:18">
      <c r="A538">
        <v>537</v>
      </c>
      <c r="B538" s="8">
        <v>45923</v>
      </c>
      <c r="C538" t="s">
        <v>6</v>
      </c>
      <c r="D538" t="s">
        <v>46</v>
      </c>
      <c r="E538" t="s">
        <v>41</v>
      </c>
      <c r="F538" t="s">
        <v>52</v>
      </c>
      <c r="G538" t="s">
        <v>44</v>
      </c>
      <c r="H538" t="s">
        <v>43</v>
      </c>
      <c r="I538" t="s">
        <v>44</v>
      </c>
      <c r="J538" t="s">
        <v>45</v>
      </c>
      <c r="K538" s="9">
        <v>9</v>
      </c>
      <c r="L538" s="10">
        <f>IFERROR(VLOOKUP(C538,Parâmetros!$A$5:$D$7,IF(D538="Mensal",2,IF(D538="Trimestral",3,4)),0),0)</f>
        <v>9.99</v>
      </c>
      <c r="M538" s="10">
        <f>IF(G538="Sim",VLOOKUP("EA Play",Parâmetros!$A$11:$B$13,2,0),0)*K538</f>
        <v>0</v>
      </c>
      <c r="N538" s="10">
        <f>IF(H538="Sim",VLOOKUP("Minecraft Pass",Parâmetros!$A$11:$B$13,2,0),0)*K538</f>
        <v>35.910000000000004</v>
      </c>
      <c r="O538" s="10">
        <f>IF(I538="Sim",VLOOKUP("Call of Duty Pass",Parâmetros!$A$11:$B$13,2,0),0)*K538</f>
        <v>0</v>
      </c>
      <c r="P538" s="10">
        <f>(L538*K538+M538+N538+O538)*IF(F538="Promoção",1-Parâmetros!$B$22,1)</f>
        <v>125.82</v>
      </c>
      <c r="Q538" s="10">
        <f>Parâmetros!$B$20*K538</f>
        <v>108</v>
      </c>
      <c r="R538" s="10">
        <f>P538-Q538</f>
        <v>17.819999999999993</v>
      </c>
    </row>
    <row r="539" spans="1:18">
      <c r="A539">
        <v>538</v>
      </c>
      <c r="B539" s="8">
        <v>45387</v>
      </c>
      <c r="C539" t="s">
        <v>8</v>
      </c>
      <c r="D539" t="s">
        <v>50</v>
      </c>
      <c r="E539" t="s">
        <v>47</v>
      </c>
      <c r="F539" t="s">
        <v>48</v>
      </c>
      <c r="G539" t="s">
        <v>44</v>
      </c>
      <c r="H539" t="s">
        <v>44</v>
      </c>
      <c r="I539" t="s">
        <v>44</v>
      </c>
      <c r="J539" t="s">
        <v>49</v>
      </c>
      <c r="K539" s="9">
        <v>15</v>
      </c>
      <c r="L539" s="10">
        <f>IFERROR(VLOOKUP(C539,Parâmetros!$A$5:$D$7,IF(D539="Mensal",2,IF(D539="Trimestral",3,4)),0),0)</f>
        <v>219</v>
      </c>
      <c r="M539" s="10">
        <f>IF(G539="Sim",VLOOKUP("EA Play",Parâmetros!$A$11:$B$13,2,0),0)*K539</f>
        <v>0</v>
      </c>
      <c r="N539" s="10">
        <f>IF(H539="Sim",VLOOKUP("Minecraft Pass",Parâmetros!$A$11:$B$13,2,0),0)*K539</f>
        <v>0</v>
      </c>
      <c r="O539" s="10">
        <f>IF(I539="Sim",VLOOKUP("Call of Duty Pass",Parâmetros!$A$11:$B$13,2,0),0)*K539</f>
        <v>0</v>
      </c>
      <c r="P539" s="10">
        <f>(L539*K539+M539+N539+O539)*IF(F539="Promoção",1-Parâmetros!$B$22,1)</f>
        <v>3285</v>
      </c>
      <c r="Q539" s="10">
        <f>Parâmetros!$B$20*K539</f>
        <v>180</v>
      </c>
      <c r="R539" s="10">
        <f>P539-Q539</f>
        <v>3105</v>
      </c>
    </row>
    <row r="540" spans="1:18">
      <c r="A540">
        <v>539</v>
      </c>
      <c r="B540" s="8">
        <v>45439</v>
      </c>
      <c r="C540" t="s">
        <v>8</v>
      </c>
      <c r="D540" t="s">
        <v>40</v>
      </c>
      <c r="E540" t="s">
        <v>55</v>
      </c>
      <c r="F540" t="s">
        <v>42</v>
      </c>
      <c r="G540" t="s">
        <v>44</v>
      </c>
      <c r="H540" t="s">
        <v>44</v>
      </c>
      <c r="I540" t="s">
        <v>44</v>
      </c>
      <c r="J540" t="s">
        <v>45</v>
      </c>
      <c r="K540" s="9">
        <v>30</v>
      </c>
      <c r="L540" s="10">
        <f>IFERROR(VLOOKUP(C540,Parâmetros!$A$5:$D$7,IF(D540="Mensal",2,IF(D540="Trimestral",3,4)),0),0)</f>
        <v>59</v>
      </c>
      <c r="M540" s="10">
        <f>IF(G540="Sim",VLOOKUP("EA Play",Parâmetros!$A$11:$B$13,2,0),0)*K540</f>
        <v>0</v>
      </c>
      <c r="N540" s="10">
        <f>IF(H540="Sim",VLOOKUP("Minecraft Pass",Parâmetros!$A$11:$B$13,2,0),0)*K540</f>
        <v>0</v>
      </c>
      <c r="O540" s="10">
        <f>IF(I540="Sim",VLOOKUP("Call of Duty Pass",Parâmetros!$A$11:$B$13,2,0),0)*K540</f>
        <v>0</v>
      </c>
      <c r="P540" s="10">
        <f>(L540*K540+M540+N540+O540)*IF(F540="Promoção",1-Parâmetros!$B$22,1)</f>
        <v>1770</v>
      </c>
      <c r="Q540" s="10">
        <f>Parâmetros!$B$20*K540</f>
        <v>360</v>
      </c>
      <c r="R540" s="10">
        <f>P540-Q540</f>
        <v>1410</v>
      </c>
    </row>
    <row r="541" spans="1:18">
      <c r="A541">
        <v>540</v>
      </c>
      <c r="B541" s="8">
        <v>45791</v>
      </c>
      <c r="C541" t="s">
        <v>6</v>
      </c>
      <c r="D541" t="s">
        <v>46</v>
      </c>
      <c r="E541" t="s">
        <v>41</v>
      </c>
      <c r="F541" t="s">
        <v>48</v>
      </c>
      <c r="G541" t="s">
        <v>43</v>
      </c>
      <c r="H541" t="s">
        <v>44</v>
      </c>
      <c r="I541" t="s">
        <v>44</v>
      </c>
      <c r="J541" t="s">
        <v>49</v>
      </c>
      <c r="K541" s="9">
        <v>7</v>
      </c>
      <c r="L541" s="10">
        <f>IFERROR(VLOOKUP(C541,Parâmetros!$A$5:$D$7,IF(D541="Mensal",2,IF(D541="Trimestral",3,4)),0),0)</f>
        <v>9.99</v>
      </c>
      <c r="M541" s="10">
        <f>IF(G541="Sim",VLOOKUP("EA Play",Parâmetros!$A$11:$B$13,2,0),0)*K541</f>
        <v>34.93</v>
      </c>
      <c r="N541" s="10">
        <f>IF(H541="Sim",VLOOKUP("Minecraft Pass",Parâmetros!$A$11:$B$13,2,0),0)*K541</f>
        <v>0</v>
      </c>
      <c r="O541" s="10">
        <f>IF(I541="Sim",VLOOKUP("Call of Duty Pass",Parâmetros!$A$11:$B$13,2,0),0)*K541</f>
        <v>0</v>
      </c>
      <c r="P541" s="10">
        <f>(L541*K541+M541+N541+O541)*IF(F541="Promoção",1-Parâmetros!$B$22,1)</f>
        <v>104.86000000000001</v>
      </c>
      <c r="Q541" s="10">
        <f>Parâmetros!$B$20*K541</f>
        <v>84</v>
      </c>
      <c r="R541" s="10">
        <f>P541-Q541</f>
        <v>20.860000000000014</v>
      </c>
    </row>
    <row r="542" spans="1:18">
      <c r="A542">
        <v>541</v>
      </c>
      <c r="B542" s="8">
        <v>45707</v>
      </c>
      <c r="C542" t="s">
        <v>8</v>
      </c>
      <c r="D542" t="s">
        <v>40</v>
      </c>
      <c r="E542" t="s">
        <v>41</v>
      </c>
      <c r="F542" t="s">
        <v>52</v>
      </c>
      <c r="G542" t="s">
        <v>44</v>
      </c>
      <c r="H542" t="s">
        <v>44</v>
      </c>
      <c r="I542" t="s">
        <v>44</v>
      </c>
      <c r="J542" t="s">
        <v>49</v>
      </c>
      <c r="K542" s="9">
        <v>16</v>
      </c>
      <c r="L542" s="10">
        <f>IFERROR(VLOOKUP(C542,Parâmetros!$A$5:$D$7,IF(D542="Mensal",2,IF(D542="Trimestral",3,4)),0),0)</f>
        <v>59</v>
      </c>
      <c r="M542" s="10">
        <f>IF(G542="Sim",VLOOKUP("EA Play",Parâmetros!$A$11:$B$13,2,0),0)*K542</f>
        <v>0</v>
      </c>
      <c r="N542" s="10">
        <f>IF(H542="Sim",VLOOKUP("Minecraft Pass",Parâmetros!$A$11:$B$13,2,0),0)*K542</f>
        <v>0</v>
      </c>
      <c r="O542" s="10">
        <f>IF(I542="Sim",VLOOKUP("Call of Duty Pass",Parâmetros!$A$11:$B$13,2,0),0)*K542</f>
        <v>0</v>
      </c>
      <c r="P542" s="10">
        <f>(L542*K542+M542+N542+O542)*IF(F542="Promoção",1-Parâmetros!$B$22,1)</f>
        <v>944</v>
      </c>
      <c r="Q542" s="10">
        <f>Parâmetros!$B$20*K542</f>
        <v>192</v>
      </c>
      <c r="R542" s="10">
        <f>P542-Q542</f>
        <v>752</v>
      </c>
    </row>
    <row r="543" spans="1:18">
      <c r="A543">
        <v>542</v>
      </c>
      <c r="B543" s="8">
        <v>45853</v>
      </c>
      <c r="C543" t="s">
        <v>6</v>
      </c>
      <c r="D543" t="s">
        <v>46</v>
      </c>
      <c r="E543" t="s">
        <v>41</v>
      </c>
      <c r="F543" t="s">
        <v>42</v>
      </c>
      <c r="G543" t="s">
        <v>44</v>
      </c>
      <c r="H543" t="s">
        <v>44</v>
      </c>
      <c r="I543" t="s">
        <v>44</v>
      </c>
      <c r="J543" t="s">
        <v>45</v>
      </c>
      <c r="K543" s="9">
        <v>22</v>
      </c>
      <c r="L543" s="10">
        <f>IFERROR(VLOOKUP(C543,Parâmetros!$A$5:$D$7,IF(D543="Mensal",2,IF(D543="Trimestral",3,4)),0),0)</f>
        <v>9.99</v>
      </c>
      <c r="M543" s="10">
        <f>IF(G543="Sim",VLOOKUP("EA Play",Parâmetros!$A$11:$B$13,2,0),0)*K543</f>
        <v>0</v>
      </c>
      <c r="N543" s="10">
        <f>IF(H543="Sim",VLOOKUP("Minecraft Pass",Parâmetros!$A$11:$B$13,2,0),0)*K543</f>
        <v>0</v>
      </c>
      <c r="O543" s="10">
        <f>IF(I543="Sim",VLOOKUP("Call of Duty Pass",Parâmetros!$A$11:$B$13,2,0),0)*K543</f>
        <v>0</v>
      </c>
      <c r="P543" s="10">
        <f>(L543*K543+M543+N543+O543)*IF(F543="Promoção",1-Parâmetros!$B$22,1)</f>
        <v>219.78</v>
      </c>
      <c r="Q543" s="10">
        <f>Parâmetros!$B$20*K543</f>
        <v>264</v>
      </c>
      <c r="R543" s="10">
        <f>P543-Q543</f>
        <v>-44.22</v>
      </c>
    </row>
    <row r="544" spans="1:18">
      <c r="A544">
        <v>543</v>
      </c>
      <c r="B544" s="8">
        <v>45849</v>
      </c>
      <c r="C544" t="s">
        <v>7</v>
      </c>
      <c r="D544" t="s">
        <v>46</v>
      </c>
      <c r="E544" t="s">
        <v>51</v>
      </c>
      <c r="F544" t="s">
        <v>52</v>
      </c>
      <c r="G544" t="s">
        <v>44</v>
      </c>
      <c r="H544" t="s">
        <v>44</v>
      </c>
      <c r="I544" t="s">
        <v>43</v>
      </c>
      <c r="J544" t="s">
        <v>45</v>
      </c>
      <c r="K544" s="9">
        <v>21</v>
      </c>
      <c r="L544" s="10">
        <f>IFERROR(VLOOKUP(C544,Parâmetros!$A$5:$D$7,IF(D544="Mensal",2,IF(D544="Trimestral",3,4)),0),0)</f>
        <v>14.99</v>
      </c>
      <c r="M544" s="10">
        <f>IF(G544="Sim",VLOOKUP("EA Play",Parâmetros!$A$11:$B$13,2,0),0)*K544</f>
        <v>0</v>
      </c>
      <c r="N544" s="10">
        <f>IF(H544="Sim",VLOOKUP("Minecraft Pass",Parâmetros!$A$11:$B$13,2,0),0)*K544</f>
        <v>0</v>
      </c>
      <c r="O544" s="10">
        <f>IF(I544="Sim",VLOOKUP("Call of Duty Pass",Parâmetros!$A$11:$B$13,2,0),0)*K544</f>
        <v>146.79</v>
      </c>
      <c r="P544" s="10">
        <f>(L544*K544+M544+N544+O544)*IF(F544="Promoção",1-Parâmetros!$B$22,1)</f>
        <v>461.58000000000004</v>
      </c>
      <c r="Q544" s="10">
        <f>Parâmetros!$B$20*K544</f>
        <v>252</v>
      </c>
      <c r="R544" s="10">
        <f>P544-Q544</f>
        <v>209.58000000000004</v>
      </c>
    </row>
    <row r="545" spans="1:18">
      <c r="A545">
        <v>544</v>
      </c>
      <c r="B545" s="8">
        <v>45860</v>
      </c>
      <c r="C545" t="s">
        <v>6</v>
      </c>
      <c r="D545" t="s">
        <v>46</v>
      </c>
      <c r="E545" t="s">
        <v>41</v>
      </c>
      <c r="F545" t="s">
        <v>48</v>
      </c>
      <c r="G545" t="s">
        <v>44</v>
      </c>
      <c r="H545" t="s">
        <v>44</v>
      </c>
      <c r="I545" t="s">
        <v>44</v>
      </c>
      <c r="J545" t="s">
        <v>45</v>
      </c>
      <c r="K545" s="9">
        <v>21</v>
      </c>
      <c r="L545" s="10">
        <f>IFERROR(VLOOKUP(C545,Parâmetros!$A$5:$D$7,IF(D545="Mensal",2,IF(D545="Trimestral",3,4)),0),0)</f>
        <v>9.99</v>
      </c>
      <c r="M545" s="10">
        <f>IF(G545="Sim",VLOOKUP("EA Play",Parâmetros!$A$11:$B$13,2,0),0)*K545</f>
        <v>0</v>
      </c>
      <c r="N545" s="10">
        <f>IF(H545="Sim",VLOOKUP("Minecraft Pass",Parâmetros!$A$11:$B$13,2,0),0)*K545</f>
        <v>0</v>
      </c>
      <c r="O545" s="10">
        <f>IF(I545="Sim",VLOOKUP("Call of Duty Pass",Parâmetros!$A$11:$B$13,2,0),0)*K545</f>
        <v>0</v>
      </c>
      <c r="P545" s="10">
        <f>(L545*K545+M545+N545+O545)*IF(F545="Promoção",1-Parâmetros!$B$22,1)</f>
        <v>209.79</v>
      </c>
      <c r="Q545" s="10">
        <f>Parâmetros!$B$20*K545</f>
        <v>252</v>
      </c>
      <c r="R545" s="10">
        <f>P545-Q545</f>
        <v>-42.210000000000008</v>
      </c>
    </row>
    <row r="546" spans="1:18">
      <c r="A546">
        <v>545</v>
      </c>
      <c r="B546" s="8">
        <v>45798</v>
      </c>
      <c r="C546" t="s">
        <v>7</v>
      </c>
      <c r="D546" t="s">
        <v>46</v>
      </c>
      <c r="E546" t="s">
        <v>41</v>
      </c>
      <c r="F546" t="s">
        <v>42</v>
      </c>
      <c r="G546" t="s">
        <v>44</v>
      </c>
      <c r="H546" t="s">
        <v>44</v>
      </c>
      <c r="I546" t="s">
        <v>44</v>
      </c>
      <c r="J546" t="s">
        <v>45</v>
      </c>
      <c r="K546" s="9">
        <v>10</v>
      </c>
      <c r="L546" s="10">
        <f>IFERROR(VLOOKUP(C546,Parâmetros!$A$5:$D$7,IF(D546="Mensal",2,IF(D546="Trimestral",3,4)),0),0)</f>
        <v>14.99</v>
      </c>
      <c r="M546" s="10">
        <f>IF(G546="Sim",VLOOKUP("EA Play",Parâmetros!$A$11:$B$13,2,0),0)*K546</f>
        <v>0</v>
      </c>
      <c r="N546" s="10">
        <f>IF(H546="Sim",VLOOKUP("Minecraft Pass",Parâmetros!$A$11:$B$13,2,0),0)*K546</f>
        <v>0</v>
      </c>
      <c r="O546" s="10">
        <f>IF(I546="Sim",VLOOKUP("Call of Duty Pass",Parâmetros!$A$11:$B$13,2,0),0)*K546</f>
        <v>0</v>
      </c>
      <c r="P546" s="10">
        <f>(L546*K546+M546+N546+O546)*IF(F546="Promoção",1-Parâmetros!$B$22,1)</f>
        <v>149.9</v>
      </c>
      <c r="Q546" s="10">
        <f>Parâmetros!$B$20*K546</f>
        <v>120</v>
      </c>
      <c r="R546" s="10">
        <f>P546-Q546</f>
        <v>29.900000000000006</v>
      </c>
    </row>
    <row r="547" spans="1:18">
      <c r="A547">
        <v>546</v>
      </c>
      <c r="B547" s="8">
        <v>45755</v>
      </c>
      <c r="C547" t="s">
        <v>7</v>
      </c>
      <c r="D547" t="s">
        <v>46</v>
      </c>
      <c r="E547" t="s">
        <v>47</v>
      </c>
      <c r="F547" t="s">
        <v>42</v>
      </c>
      <c r="G547" t="s">
        <v>44</v>
      </c>
      <c r="H547" t="s">
        <v>43</v>
      </c>
      <c r="I547" t="s">
        <v>44</v>
      </c>
      <c r="J547" t="s">
        <v>45</v>
      </c>
      <c r="K547" s="9">
        <v>20</v>
      </c>
      <c r="L547" s="10">
        <f>IFERROR(VLOOKUP(C547,Parâmetros!$A$5:$D$7,IF(D547="Mensal",2,IF(D547="Trimestral",3,4)),0),0)</f>
        <v>14.99</v>
      </c>
      <c r="M547" s="10">
        <f>IF(G547="Sim",VLOOKUP("EA Play",Parâmetros!$A$11:$B$13,2,0),0)*K547</f>
        <v>0</v>
      </c>
      <c r="N547" s="10">
        <f>IF(H547="Sim",VLOOKUP("Minecraft Pass",Parâmetros!$A$11:$B$13,2,0),0)*K547</f>
        <v>79.800000000000011</v>
      </c>
      <c r="O547" s="10">
        <f>IF(I547="Sim",VLOOKUP("Call of Duty Pass",Parâmetros!$A$11:$B$13,2,0),0)*K547</f>
        <v>0</v>
      </c>
      <c r="P547" s="10">
        <f>(L547*K547+M547+N547+O547)*IF(F547="Promoção",1-Parâmetros!$B$22,1)</f>
        <v>379.6</v>
      </c>
      <c r="Q547" s="10">
        <f>Parâmetros!$B$20*K547</f>
        <v>240</v>
      </c>
      <c r="R547" s="10">
        <f>P547-Q547</f>
        <v>139.60000000000002</v>
      </c>
    </row>
    <row r="548" spans="1:18">
      <c r="A548">
        <v>547</v>
      </c>
      <c r="B548" s="8">
        <v>45737</v>
      </c>
      <c r="C548" t="s">
        <v>7</v>
      </c>
      <c r="D548" t="s">
        <v>50</v>
      </c>
      <c r="E548" t="s">
        <v>53</v>
      </c>
      <c r="F548" t="s">
        <v>48</v>
      </c>
      <c r="G548" t="s">
        <v>44</v>
      </c>
      <c r="H548" t="s">
        <v>44</v>
      </c>
      <c r="I548" t="s">
        <v>44</v>
      </c>
      <c r="J548" t="s">
        <v>45</v>
      </c>
      <c r="K548" s="9">
        <v>4</v>
      </c>
      <c r="L548" s="10">
        <f>IFERROR(VLOOKUP(C548,Parâmetros!$A$5:$D$7,IF(D548="Mensal",2,IF(D548="Trimestral",3,4)),0),0)</f>
        <v>149</v>
      </c>
      <c r="M548" s="10">
        <f>IF(G548="Sim",VLOOKUP("EA Play",Parâmetros!$A$11:$B$13,2,0),0)*K548</f>
        <v>0</v>
      </c>
      <c r="N548" s="10">
        <f>IF(H548="Sim",VLOOKUP("Minecraft Pass",Parâmetros!$A$11:$B$13,2,0),0)*K548</f>
        <v>0</v>
      </c>
      <c r="O548" s="10">
        <f>IF(I548="Sim",VLOOKUP("Call of Duty Pass",Parâmetros!$A$11:$B$13,2,0),0)*K548</f>
        <v>0</v>
      </c>
      <c r="P548" s="10">
        <f>(L548*K548+M548+N548+O548)*IF(F548="Promoção",1-Parâmetros!$B$22,1)</f>
        <v>596</v>
      </c>
      <c r="Q548" s="10">
        <f>Parâmetros!$B$20*K548</f>
        <v>48</v>
      </c>
      <c r="R548" s="10">
        <f>P548-Q548</f>
        <v>548</v>
      </c>
    </row>
    <row r="549" spans="1:18">
      <c r="A549">
        <v>548</v>
      </c>
      <c r="B549" s="8">
        <v>45670</v>
      </c>
      <c r="C549" t="s">
        <v>8</v>
      </c>
      <c r="D549" t="s">
        <v>50</v>
      </c>
      <c r="E549" t="s">
        <v>41</v>
      </c>
      <c r="F549" t="s">
        <v>48</v>
      </c>
      <c r="G549" t="s">
        <v>44</v>
      </c>
      <c r="H549" t="s">
        <v>43</v>
      </c>
      <c r="I549" t="s">
        <v>43</v>
      </c>
      <c r="J549" t="s">
        <v>49</v>
      </c>
      <c r="K549" s="9">
        <v>28</v>
      </c>
      <c r="L549" s="10">
        <f>IFERROR(VLOOKUP(C549,Parâmetros!$A$5:$D$7,IF(D549="Mensal",2,IF(D549="Trimestral",3,4)),0),0)</f>
        <v>219</v>
      </c>
      <c r="M549" s="10">
        <f>IF(G549="Sim",VLOOKUP("EA Play",Parâmetros!$A$11:$B$13,2,0),0)*K549</f>
        <v>0</v>
      </c>
      <c r="N549" s="10">
        <f>IF(H549="Sim",VLOOKUP("Minecraft Pass",Parâmetros!$A$11:$B$13,2,0),0)*K549</f>
        <v>111.72</v>
      </c>
      <c r="O549" s="10">
        <f>IF(I549="Sim",VLOOKUP("Call of Duty Pass",Parâmetros!$A$11:$B$13,2,0),0)*K549</f>
        <v>195.72</v>
      </c>
      <c r="P549" s="10">
        <f>(L549*K549+M549+N549+O549)*IF(F549="Promoção",1-Parâmetros!$B$22,1)</f>
        <v>6439.4400000000005</v>
      </c>
      <c r="Q549" s="10">
        <f>Parâmetros!$B$20*K549</f>
        <v>336</v>
      </c>
      <c r="R549" s="10">
        <f>P549-Q549</f>
        <v>6103.4400000000005</v>
      </c>
    </row>
    <row r="550" spans="1:18">
      <c r="A550">
        <v>549</v>
      </c>
      <c r="B550" s="8">
        <v>46011</v>
      </c>
      <c r="C550" t="s">
        <v>7</v>
      </c>
      <c r="D550" t="s">
        <v>40</v>
      </c>
      <c r="E550" t="s">
        <v>51</v>
      </c>
      <c r="F550" t="s">
        <v>48</v>
      </c>
      <c r="G550" t="s">
        <v>43</v>
      </c>
      <c r="H550" t="s">
        <v>43</v>
      </c>
      <c r="I550" t="s">
        <v>43</v>
      </c>
      <c r="J550" t="s">
        <v>49</v>
      </c>
      <c r="K550" s="9">
        <v>25</v>
      </c>
      <c r="L550" s="10">
        <f>IFERROR(VLOOKUP(C550,Parâmetros!$A$5:$D$7,IF(D550="Mensal",2,IF(D550="Trimestral",3,4)),0),0)</f>
        <v>40</v>
      </c>
      <c r="M550" s="10">
        <f>IF(G550="Sim",VLOOKUP("EA Play",Parâmetros!$A$11:$B$13,2,0),0)*K550</f>
        <v>124.75</v>
      </c>
      <c r="N550" s="10">
        <f>IF(H550="Sim",VLOOKUP("Minecraft Pass",Parâmetros!$A$11:$B$13,2,0),0)*K550</f>
        <v>99.75</v>
      </c>
      <c r="O550" s="10">
        <f>IF(I550="Sim",VLOOKUP("Call of Duty Pass",Parâmetros!$A$11:$B$13,2,0),0)*K550</f>
        <v>174.75</v>
      </c>
      <c r="P550" s="10">
        <f>(L550*K550+M550+N550+O550)*IF(F550="Promoção",1-Parâmetros!$B$22,1)</f>
        <v>1399.25</v>
      </c>
      <c r="Q550" s="10">
        <f>Parâmetros!$B$20*K550</f>
        <v>300</v>
      </c>
      <c r="R550" s="10">
        <f>P550-Q550</f>
        <v>1099.25</v>
      </c>
    </row>
    <row r="551" spans="1:18">
      <c r="A551">
        <v>550</v>
      </c>
      <c r="B551" s="8">
        <v>45660</v>
      </c>
      <c r="C551" t="s">
        <v>8</v>
      </c>
      <c r="D551" t="s">
        <v>46</v>
      </c>
      <c r="E551" t="s">
        <v>53</v>
      </c>
      <c r="F551" t="s">
        <v>52</v>
      </c>
      <c r="G551" t="s">
        <v>43</v>
      </c>
      <c r="H551" t="s">
        <v>43</v>
      </c>
      <c r="I551" t="s">
        <v>43</v>
      </c>
      <c r="J551" t="s">
        <v>45</v>
      </c>
      <c r="K551" s="9">
        <v>32</v>
      </c>
      <c r="L551" s="10">
        <f>IFERROR(VLOOKUP(C551,Parâmetros!$A$5:$D$7,IF(D551="Mensal",2,IF(D551="Trimestral",3,4)),0),0)</f>
        <v>21.99</v>
      </c>
      <c r="M551" s="10">
        <f>IF(G551="Sim",VLOOKUP("EA Play",Parâmetros!$A$11:$B$13,2,0),0)*K551</f>
        <v>159.68</v>
      </c>
      <c r="N551" s="10">
        <f>IF(H551="Sim",VLOOKUP("Minecraft Pass",Parâmetros!$A$11:$B$13,2,0),0)*K551</f>
        <v>127.68</v>
      </c>
      <c r="O551" s="10">
        <f>IF(I551="Sim",VLOOKUP("Call of Duty Pass",Parâmetros!$A$11:$B$13,2,0),0)*K551</f>
        <v>223.68</v>
      </c>
      <c r="P551" s="10">
        <f>(L551*K551+M551+N551+O551)*IF(F551="Promoção",1-Parâmetros!$B$22,1)</f>
        <v>1214.72</v>
      </c>
      <c r="Q551" s="10">
        <f>Parâmetros!$B$20*K551</f>
        <v>384</v>
      </c>
      <c r="R551" s="10">
        <f>P551-Q551</f>
        <v>830.72</v>
      </c>
    </row>
    <row r="552" spans="1:18">
      <c r="A552">
        <v>551</v>
      </c>
      <c r="B552" s="8">
        <v>45965</v>
      </c>
      <c r="C552" t="s">
        <v>7</v>
      </c>
      <c r="D552" t="s">
        <v>50</v>
      </c>
      <c r="E552" t="s">
        <v>41</v>
      </c>
      <c r="F552" t="s">
        <v>52</v>
      </c>
      <c r="G552" t="s">
        <v>43</v>
      </c>
      <c r="H552" t="s">
        <v>44</v>
      </c>
      <c r="I552" t="s">
        <v>44</v>
      </c>
      <c r="J552" t="s">
        <v>45</v>
      </c>
      <c r="K552" s="9">
        <v>28</v>
      </c>
      <c r="L552" s="10">
        <f>IFERROR(VLOOKUP(C552,Parâmetros!$A$5:$D$7,IF(D552="Mensal",2,IF(D552="Trimestral",3,4)),0),0)</f>
        <v>149</v>
      </c>
      <c r="M552" s="10">
        <f>IF(G552="Sim",VLOOKUP("EA Play",Parâmetros!$A$11:$B$13,2,0),0)*K552</f>
        <v>139.72</v>
      </c>
      <c r="N552" s="10">
        <f>IF(H552="Sim",VLOOKUP("Minecraft Pass",Parâmetros!$A$11:$B$13,2,0),0)*K552</f>
        <v>0</v>
      </c>
      <c r="O552" s="10">
        <f>IF(I552="Sim",VLOOKUP("Call of Duty Pass",Parâmetros!$A$11:$B$13,2,0),0)*K552</f>
        <v>0</v>
      </c>
      <c r="P552" s="10">
        <f>(L552*K552+M552+N552+O552)*IF(F552="Promoção",1-Parâmetros!$B$22,1)</f>
        <v>4311.72</v>
      </c>
      <c r="Q552" s="10">
        <f>Parâmetros!$B$20*K552</f>
        <v>336</v>
      </c>
      <c r="R552" s="10">
        <f>P552-Q552</f>
        <v>3975.7200000000003</v>
      </c>
    </row>
    <row r="553" spans="1:18">
      <c r="A553">
        <v>552</v>
      </c>
      <c r="B553" s="8">
        <v>45930</v>
      </c>
      <c r="C553" t="s">
        <v>6</v>
      </c>
      <c r="D553" t="s">
        <v>40</v>
      </c>
      <c r="E553" t="s">
        <v>47</v>
      </c>
      <c r="F553" t="s">
        <v>48</v>
      </c>
      <c r="G553" t="s">
        <v>43</v>
      </c>
      <c r="H553" t="s">
        <v>43</v>
      </c>
      <c r="I553" t="s">
        <v>44</v>
      </c>
      <c r="J553" t="s">
        <v>45</v>
      </c>
      <c r="K553" s="9">
        <v>16</v>
      </c>
      <c r="L553" s="10">
        <f>IFERROR(VLOOKUP(C553,Parâmetros!$A$5:$D$7,IF(D553="Mensal",2,IF(D553="Trimestral",3,4)),0),0)</f>
        <v>27</v>
      </c>
      <c r="M553" s="10">
        <f>IF(G553="Sim",VLOOKUP("EA Play",Parâmetros!$A$11:$B$13,2,0),0)*K553</f>
        <v>79.84</v>
      </c>
      <c r="N553" s="10">
        <f>IF(H553="Sim",VLOOKUP("Minecraft Pass",Parâmetros!$A$11:$B$13,2,0),0)*K553</f>
        <v>63.84</v>
      </c>
      <c r="O553" s="10">
        <f>IF(I553="Sim",VLOOKUP("Call of Duty Pass",Parâmetros!$A$11:$B$13,2,0),0)*K553</f>
        <v>0</v>
      </c>
      <c r="P553" s="10">
        <f>(L553*K553+M553+N553+O553)*IF(F553="Promoção",1-Parâmetros!$B$22,1)</f>
        <v>575.68000000000006</v>
      </c>
      <c r="Q553" s="10">
        <f>Parâmetros!$B$20*K553</f>
        <v>192</v>
      </c>
      <c r="R553" s="10">
        <f>P553-Q553</f>
        <v>383.68000000000006</v>
      </c>
    </row>
    <row r="554" spans="1:18">
      <c r="A554">
        <v>553</v>
      </c>
      <c r="B554" s="8">
        <v>46021</v>
      </c>
      <c r="C554" t="s">
        <v>7</v>
      </c>
      <c r="D554" t="s">
        <v>46</v>
      </c>
      <c r="E554" t="s">
        <v>47</v>
      </c>
      <c r="F554" t="s">
        <v>42</v>
      </c>
      <c r="G554" t="s">
        <v>44</v>
      </c>
      <c r="H554" t="s">
        <v>44</v>
      </c>
      <c r="I554" t="s">
        <v>44</v>
      </c>
      <c r="J554" t="s">
        <v>49</v>
      </c>
      <c r="K554" s="9">
        <v>31</v>
      </c>
      <c r="L554" s="10">
        <f>IFERROR(VLOOKUP(C554,Parâmetros!$A$5:$D$7,IF(D554="Mensal",2,IF(D554="Trimestral",3,4)),0),0)</f>
        <v>14.99</v>
      </c>
      <c r="M554" s="10">
        <f>IF(G554="Sim",VLOOKUP("EA Play",Parâmetros!$A$11:$B$13,2,0),0)*K554</f>
        <v>0</v>
      </c>
      <c r="N554" s="10">
        <f>IF(H554="Sim",VLOOKUP("Minecraft Pass",Parâmetros!$A$11:$B$13,2,0),0)*K554</f>
        <v>0</v>
      </c>
      <c r="O554" s="10">
        <f>IF(I554="Sim",VLOOKUP("Call of Duty Pass",Parâmetros!$A$11:$B$13,2,0),0)*K554</f>
        <v>0</v>
      </c>
      <c r="P554" s="10">
        <f>(L554*K554+M554+N554+O554)*IF(F554="Promoção",1-Parâmetros!$B$22,1)</f>
        <v>464.69</v>
      </c>
      <c r="Q554" s="10">
        <f>Parâmetros!$B$20*K554</f>
        <v>372</v>
      </c>
      <c r="R554" s="10">
        <f>P554-Q554</f>
        <v>92.69</v>
      </c>
    </row>
    <row r="555" spans="1:18">
      <c r="A555">
        <v>554</v>
      </c>
      <c r="B555" s="8">
        <v>45999</v>
      </c>
      <c r="C555" t="s">
        <v>6</v>
      </c>
      <c r="D555" t="s">
        <v>40</v>
      </c>
      <c r="E555" t="s">
        <v>47</v>
      </c>
      <c r="F555" t="s">
        <v>54</v>
      </c>
      <c r="G555" t="s">
        <v>44</v>
      </c>
      <c r="H555" t="s">
        <v>43</v>
      </c>
      <c r="I555" t="s">
        <v>44</v>
      </c>
      <c r="J555" t="s">
        <v>49</v>
      </c>
      <c r="K555" s="9">
        <v>6</v>
      </c>
      <c r="L555" s="10">
        <f>IFERROR(VLOOKUP(C555,Parâmetros!$A$5:$D$7,IF(D555="Mensal",2,IF(D555="Trimestral",3,4)),0),0)</f>
        <v>27</v>
      </c>
      <c r="M555" s="10">
        <f>IF(G555="Sim",VLOOKUP("EA Play",Parâmetros!$A$11:$B$13,2,0),0)*K555</f>
        <v>0</v>
      </c>
      <c r="N555" s="10">
        <f>IF(H555="Sim",VLOOKUP("Minecraft Pass",Parâmetros!$A$11:$B$13,2,0),0)*K555</f>
        <v>23.94</v>
      </c>
      <c r="O555" s="10">
        <f>IF(I555="Sim",VLOOKUP("Call of Duty Pass",Parâmetros!$A$11:$B$13,2,0),0)*K555</f>
        <v>0</v>
      </c>
      <c r="P555" s="10">
        <f>(L555*K555+M555+N555+O555)*IF(F555="Promoção",1-Parâmetros!$B$22,1)</f>
        <v>167.346</v>
      </c>
      <c r="Q555" s="10">
        <f>Parâmetros!$B$20*K555</f>
        <v>72</v>
      </c>
      <c r="R555" s="10">
        <f>P555-Q555</f>
        <v>95.346000000000004</v>
      </c>
    </row>
    <row r="556" spans="1:18">
      <c r="A556">
        <v>555</v>
      </c>
      <c r="B556" s="8">
        <v>45543</v>
      </c>
      <c r="C556" t="s">
        <v>7</v>
      </c>
      <c r="D556" t="s">
        <v>40</v>
      </c>
      <c r="E556" t="s">
        <v>53</v>
      </c>
      <c r="F556" t="s">
        <v>42</v>
      </c>
      <c r="G556" t="s">
        <v>44</v>
      </c>
      <c r="H556" t="s">
        <v>44</v>
      </c>
      <c r="I556" t="s">
        <v>44</v>
      </c>
      <c r="J556" t="s">
        <v>49</v>
      </c>
      <c r="K556" s="9">
        <v>22</v>
      </c>
      <c r="L556" s="10">
        <f>IFERROR(VLOOKUP(C556,Parâmetros!$A$5:$D$7,IF(D556="Mensal",2,IF(D556="Trimestral",3,4)),0),0)</f>
        <v>40</v>
      </c>
      <c r="M556" s="10">
        <f>IF(G556="Sim",VLOOKUP("EA Play",Parâmetros!$A$11:$B$13,2,0),0)*K556</f>
        <v>0</v>
      </c>
      <c r="N556" s="10">
        <f>IF(H556="Sim",VLOOKUP("Minecraft Pass",Parâmetros!$A$11:$B$13,2,0),0)*K556</f>
        <v>0</v>
      </c>
      <c r="O556" s="10">
        <f>IF(I556="Sim",VLOOKUP("Call of Duty Pass",Parâmetros!$A$11:$B$13,2,0),0)*K556</f>
        <v>0</v>
      </c>
      <c r="P556" s="10">
        <f>(L556*K556+M556+N556+O556)*IF(F556="Promoção",1-Parâmetros!$B$22,1)</f>
        <v>880</v>
      </c>
      <c r="Q556" s="10">
        <f>Parâmetros!$B$20*K556</f>
        <v>264</v>
      </c>
      <c r="R556" s="10">
        <f>P556-Q556</f>
        <v>616</v>
      </c>
    </row>
    <row r="557" spans="1:18">
      <c r="A557">
        <v>556</v>
      </c>
      <c r="B557" s="8">
        <v>45839</v>
      </c>
      <c r="C557" t="s">
        <v>8</v>
      </c>
      <c r="D557" t="s">
        <v>46</v>
      </c>
      <c r="E557" t="s">
        <v>47</v>
      </c>
      <c r="F557" t="s">
        <v>48</v>
      </c>
      <c r="G557" t="s">
        <v>44</v>
      </c>
      <c r="H557" t="s">
        <v>44</v>
      </c>
      <c r="I557" t="s">
        <v>44</v>
      </c>
      <c r="J557" t="s">
        <v>45</v>
      </c>
      <c r="K557" s="9">
        <v>19</v>
      </c>
      <c r="L557" s="10">
        <f>IFERROR(VLOOKUP(C557,Parâmetros!$A$5:$D$7,IF(D557="Mensal",2,IF(D557="Trimestral",3,4)),0),0)</f>
        <v>21.99</v>
      </c>
      <c r="M557" s="10">
        <f>IF(G557="Sim",VLOOKUP("EA Play",Parâmetros!$A$11:$B$13,2,0),0)*K557</f>
        <v>0</v>
      </c>
      <c r="N557" s="10">
        <f>IF(H557="Sim",VLOOKUP("Minecraft Pass",Parâmetros!$A$11:$B$13,2,0),0)*K557</f>
        <v>0</v>
      </c>
      <c r="O557" s="10">
        <f>IF(I557="Sim",VLOOKUP("Call of Duty Pass",Parâmetros!$A$11:$B$13,2,0),0)*K557</f>
        <v>0</v>
      </c>
      <c r="P557" s="10">
        <f>(L557*K557+M557+N557+O557)*IF(F557="Promoção",1-Parâmetros!$B$22,1)</f>
        <v>417.80999999999995</v>
      </c>
      <c r="Q557" s="10">
        <f>Parâmetros!$B$20*K557</f>
        <v>228</v>
      </c>
      <c r="R557" s="10">
        <f>P557-Q557</f>
        <v>189.80999999999995</v>
      </c>
    </row>
    <row r="558" spans="1:18">
      <c r="A558">
        <v>557</v>
      </c>
      <c r="B558" s="8">
        <v>45463</v>
      </c>
      <c r="C558" t="s">
        <v>6</v>
      </c>
      <c r="D558" t="s">
        <v>50</v>
      </c>
      <c r="E558" t="s">
        <v>51</v>
      </c>
      <c r="F558" t="s">
        <v>52</v>
      </c>
      <c r="G558" t="s">
        <v>44</v>
      </c>
      <c r="H558" t="s">
        <v>43</v>
      </c>
      <c r="I558" t="s">
        <v>44</v>
      </c>
      <c r="J558" t="s">
        <v>49</v>
      </c>
      <c r="K558" s="9">
        <v>4</v>
      </c>
      <c r="L558" s="10">
        <f>IFERROR(VLOOKUP(C558,Parâmetros!$A$5:$D$7,IF(D558="Mensal",2,IF(D558="Trimestral",3,4)),0),0)</f>
        <v>99</v>
      </c>
      <c r="M558" s="10">
        <f>IF(G558="Sim",VLOOKUP("EA Play",Parâmetros!$A$11:$B$13,2,0),0)*K558</f>
        <v>0</v>
      </c>
      <c r="N558" s="10">
        <f>IF(H558="Sim",VLOOKUP("Minecraft Pass",Parâmetros!$A$11:$B$13,2,0),0)*K558</f>
        <v>15.96</v>
      </c>
      <c r="O558" s="10">
        <f>IF(I558="Sim",VLOOKUP("Call of Duty Pass",Parâmetros!$A$11:$B$13,2,0),0)*K558</f>
        <v>0</v>
      </c>
      <c r="P558" s="10">
        <f>(L558*K558+M558+N558+O558)*IF(F558="Promoção",1-Parâmetros!$B$22,1)</f>
        <v>411.96</v>
      </c>
      <c r="Q558" s="10">
        <f>Parâmetros!$B$20*K558</f>
        <v>48</v>
      </c>
      <c r="R558" s="10">
        <f>P558-Q558</f>
        <v>363.96</v>
      </c>
    </row>
    <row r="559" spans="1:18">
      <c r="A559">
        <v>558</v>
      </c>
      <c r="B559" s="8">
        <v>45964</v>
      </c>
      <c r="C559" t="s">
        <v>8</v>
      </c>
      <c r="D559" t="s">
        <v>50</v>
      </c>
      <c r="E559" t="s">
        <v>47</v>
      </c>
      <c r="F559" t="s">
        <v>42</v>
      </c>
      <c r="G559" t="s">
        <v>43</v>
      </c>
      <c r="H559" t="s">
        <v>44</v>
      </c>
      <c r="I559" t="s">
        <v>44</v>
      </c>
      <c r="J559" t="s">
        <v>49</v>
      </c>
      <c r="K559" s="9">
        <v>9</v>
      </c>
      <c r="L559" s="10">
        <f>IFERROR(VLOOKUP(C559,Parâmetros!$A$5:$D$7,IF(D559="Mensal",2,IF(D559="Trimestral",3,4)),0),0)</f>
        <v>219</v>
      </c>
      <c r="M559" s="10">
        <f>IF(G559="Sim",VLOOKUP("EA Play",Parâmetros!$A$11:$B$13,2,0),0)*K559</f>
        <v>44.910000000000004</v>
      </c>
      <c r="N559" s="10">
        <f>IF(H559="Sim",VLOOKUP("Minecraft Pass",Parâmetros!$A$11:$B$13,2,0),0)*K559</f>
        <v>0</v>
      </c>
      <c r="O559" s="10">
        <f>IF(I559="Sim",VLOOKUP("Call of Duty Pass",Parâmetros!$A$11:$B$13,2,0),0)*K559</f>
        <v>0</v>
      </c>
      <c r="P559" s="10">
        <f>(L559*K559+M559+N559+O559)*IF(F559="Promoção",1-Parâmetros!$B$22,1)</f>
        <v>2015.91</v>
      </c>
      <c r="Q559" s="10">
        <f>Parâmetros!$B$20*K559</f>
        <v>108</v>
      </c>
      <c r="R559" s="10">
        <f>P559-Q559</f>
        <v>1907.91</v>
      </c>
    </row>
    <row r="560" spans="1:18">
      <c r="A560">
        <v>559</v>
      </c>
      <c r="B560" s="8">
        <v>45922</v>
      </c>
      <c r="C560" t="s">
        <v>6</v>
      </c>
      <c r="D560" t="s">
        <v>50</v>
      </c>
      <c r="E560" t="s">
        <v>41</v>
      </c>
      <c r="F560" t="s">
        <v>42</v>
      </c>
      <c r="G560" t="s">
        <v>43</v>
      </c>
      <c r="H560" t="s">
        <v>44</v>
      </c>
      <c r="I560" t="s">
        <v>43</v>
      </c>
      <c r="J560" t="s">
        <v>49</v>
      </c>
      <c r="K560" s="9">
        <v>12</v>
      </c>
      <c r="L560" s="10">
        <f>IFERROR(VLOOKUP(C560,Parâmetros!$A$5:$D$7,IF(D560="Mensal",2,IF(D560="Trimestral",3,4)),0),0)</f>
        <v>99</v>
      </c>
      <c r="M560" s="10">
        <f>IF(G560="Sim",VLOOKUP("EA Play",Parâmetros!$A$11:$B$13,2,0),0)*K560</f>
        <v>59.88</v>
      </c>
      <c r="N560" s="10">
        <f>IF(H560="Sim",VLOOKUP("Minecraft Pass",Parâmetros!$A$11:$B$13,2,0),0)*K560</f>
        <v>0</v>
      </c>
      <c r="O560" s="10">
        <f>IF(I560="Sim",VLOOKUP("Call of Duty Pass",Parâmetros!$A$11:$B$13,2,0),0)*K560</f>
        <v>83.88</v>
      </c>
      <c r="P560" s="10">
        <f>(L560*K560+M560+N560+O560)*IF(F560="Promoção",1-Parâmetros!$B$22,1)</f>
        <v>1331.7600000000002</v>
      </c>
      <c r="Q560" s="10">
        <f>Parâmetros!$B$20*K560</f>
        <v>144</v>
      </c>
      <c r="R560" s="10">
        <f>P560-Q560</f>
        <v>1187.7600000000002</v>
      </c>
    </row>
    <row r="561" spans="1:18">
      <c r="A561">
        <v>560</v>
      </c>
      <c r="B561" s="8">
        <v>45559</v>
      </c>
      <c r="C561" t="s">
        <v>8</v>
      </c>
      <c r="D561" t="s">
        <v>46</v>
      </c>
      <c r="E561" t="s">
        <v>41</v>
      </c>
      <c r="F561" t="s">
        <v>48</v>
      </c>
      <c r="G561" t="s">
        <v>43</v>
      </c>
      <c r="H561" t="s">
        <v>44</v>
      </c>
      <c r="I561" t="s">
        <v>44</v>
      </c>
      <c r="J561" t="s">
        <v>45</v>
      </c>
      <c r="K561" s="9">
        <v>10</v>
      </c>
      <c r="L561" s="10">
        <f>IFERROR(VLOOKUP(C561,Parâmetros!$A$5:$D$7,IF(D561="Mensal",2,IF(D561="Trimestral",3,4)),0),0)</f>
        <v>21.99</v>
      </c>
      <c r="M561" s="10">
        <f>IF(G561="Sim",VLOOKUP("EA Play",Parâmetros!$A$11:$B$13,2,0),0)*K561</f>
        <v>49.900000000000006</v>
      </c>
      <c r="N561" s="10">
        <f>IF(H561="Sim",VLOOKUP("Minecraft Pass",Parâmetros!$A$11:$B$13,2,0),0)*K561</f>
        <v>0</v>
      </c>
      <c r="O561" s="10">
        <f>IF(I561="Sim",VLOOKUP("Call of Duty Pass",Parâmetros!$A$11:$B$13,2,0),0)*K561</f>
        <v>0</v>
      </c>
      <c r="P561" s="10">
        <f>(L561*K561+M561+N561+O561)*IF(F561="Promoção",1-Parâmetros!$B$22,1)</f>
        <v>269.79999999999995</v>
      </c>
      <c r="Q561" s="10">
        <f>Parâmetros!$B$20*K561</f>
        <v>120</v>
      </c>
      <c r="R561" s="10">
        <f>P561-Q561</f>
        <v>149.79999999999995</v>
      </c>
    </row>
    <row r="562" spans="1:18">
      <c r="A562">
        <v>561</v>
      </c>
      <c r="B562" s="8">
        <v>45799</v>
      </c>
      <c r="C562" t="s">
        <v>8</v>
      </c>
      <c r="D562" t="s">
        <v>46</v>
      </c>
      <c r="E562" t="s">
        <v>41</v>
      </c>
      <c r="F562" t="s">
        <v>52</v>
      </c>
      <c r="G562" t="s">
        <v>44</v>
      </c>
      <c r="H562" t="s">
        <v>43</v>
      </c>
      <c r="I562" t="s">
        <v>44</v>
      </c>
      <c r="J562" t="s">
        <v>45</v>
      </c>
      <c r="K562" s="9">
        <v>4</v>
      </c>
      <c r="L562" s="10">
        <f>IFERROR(VLOOKUP(C562,Parâmetros!$A$5:$D$7,IF(D562="Mensal",2,IF(D562="Trimestral",3,4)),0),0)</f>
        <v>21.99</v>
      </c>
      <c r="M562" s="10">
        <f>IF(G562="Sim",VLOOKUP("EA Play",Parâmetros!$A$11:$B$13,2,0),0)*K562</f>
        <v>0</v>
      </c>
      <c r="N562" s="10">
        <f>IF(H562="Sim",VLOOKUP("Minecraft Pass",Parâmetros!$A$11:$B$13,2,0),0)*K562</f>
        <v>15.96</v>
      </c>
      <c r="O562" s="10">
        <f>IF(I562="Sim",VLOOKUP("Call of Duty Pass",Parâmetros!$A$11:$B$13,2,0),0)*K562</f>
        <v>0</v>
      </c>
      <c r="P562" s="10">
        <f>(L562*K562+M562+N562+O562)*IF(F562="Promoção",1-Parâmetros!$B$22,1)</f>
        <v>103.91999999999999</v>
      </c>
      <c r="Q562" s="10">
        <f>Parâmetros!$B$20*K562</f>
        <v>48</v>
      </c>
      <c r="R562" s="10">
        <f>P562-Q562</f>
        <v>55.919999999999987</v>
      </c>
    </row>
    <row r="563" spans="1:18">
      <c r="A563">
        <v>562</v>
      </c>
      <c r="B563" s="8">
        <v>45949</v>
      </c>
      <c r="C563" t="s">
        <v>6</v>
      </c>
      <c r="D563" t="s">
        <v>50</v>
      </c>
      <c r="E563" t="s">
        <v>41</v>
      </c>
      <c r="F563" t="s">
        <v>48</v>
      </c>
      <c r="G563" t="s">
        <v>44</v>
      </c>
      <c r="H563" t="s">
        <v>44</v>
      </c>
      <c r="I563" t="s">
        <v>44</v>
      </c>
      <c r="J563" t="s">
        <v>45</v>
      </c>
      <c r="K563" s="9">
        <v>15</v>
      </c>
      <c r="L563" s="10">
        <f>IFERROR(VLOOKUP(C563,Parâmetros!$A$5:$D$7,IF(D563="Mensal",2,IF(D563="Trimestral",3,4)),0),0)</f>
        <v>99</v>
      </c>
      <c r="M563" s="10">
        <f>IF(G563="Sim",VLOOKUP("EA Play",Parâmetros!$A$11:$B$13,2,0),0)*K563</f>
        <v>0</v>
      </c>
      <c r="N563" s="10">
        <f>IF(H563="Sim",VLOOKUP("Minecraft Pass",Parâmetros!$A$11:$B$13,2,0),0)*K563</f>
        <v>0</v>
      </c>
      <c r="O563" s="10">
        <f>IF(I563="Sim",VLOOKUP("Call of Duty Pass",Parâmetros!$A$11:$B$13,2,0),0)*K563</f>
        <v>0</v>
      </c>
      <c r="P563" s="10">
        <f>(L563*K563+M563+N563+O563)*IF(F563="Promoção",1-Parâmetros!$B$22,1)</f>
        <v>1485</v>
      </c>
      <c r="Q563" s="10">
        <f>Parâmetros!$B$20*K563</f>
        <v>180</v>
      </c>
      <c r="R563" s="10">
        <f>P563-Q563</f>
        <v>1305</v>
      </c>
    </row>
    <row r="564" spans="1:18">
      <c r="A564">
        <v>563</v>
      </c>
      <c r="B564" s="8">
        <v>45680</v>
      </c>
      <c r="C564" t="s">
        <v>7</v>
      </c>
      <c r="D564" t="s">
        <v>46</v>
      </c>
      <c r="E564" t="s">
        <v>41</v>
      </c>
      <c r="F564" t="s">
        <v>48</v>
      </c>
      <c r="G564" t="s">
        <v>43</v>
      </c>
      <c r="H564" t="s">
        <v>43</v>
      </c>
      <c r="I564" t="s">
        <v>44</v>
      </c>
      <c r="J564" t="s">
        <v>49</v>
      </c>
      <c r="K564" s="9">
        <v>21</v>
      </c>
      <c r="L564" s="10">
        <f>IFERROR(VLOOKUP(C564,Parâmetros!$A$5:$D$7,IF(D564="Mensal",2,IF(D564="Trimestral",3,4)),0),0)</f>
        <v>14.99</v>
      </c>
      <c r="M564" s="10">
        <f>IF(G564="Sim",VLOOKUP("EA Play",Parâmetros!$A$11:$B$13,2,0),0)*K564</f>
        <v>104.79</v>
      </c>
      <c r="N564" s="10">
        <f>IF(H564="Sim",VLOOKUP("Minecraft Pass",Parâmetros!$A$11:$B$13,2,0),0)*K564</f>
        <v>83.79</v>
      </c>
      <c r="O564" s="10">
        <f>IF(I564="Sim",VLOOKUP("Call of Duty Pass",Parâmetros!$A$11:$B$13,2,0),0)*K564</f>
        <v>0</v>
      </c>
      <c r="P564" s="10">
        <f>(L564*K564+M564+N564+O564)*IF(F564="Promoção",1-Parâmetros!$B$22,1)</f>
        <v>503.37000000000006</v>
      </c>
      <c r="Q564" s="10">
        <f>Parâmetros!$B$20*K564</f>
        <v>252</v>
      </c>
      <c r="R564" s="10">
        <f>P564-Q564</f>
        <v>251.37000000000006</v>
      </c>
    </row>
    <row r="565" spans="1:18">
      <c r="A565">
        <v>564</v>
      </c>
      <c r="B565" s="8">
        <v>45834</v>
      </c>
      <c r="C565" t="s">
        <v>7</v>
      </c>
      <c r="D565" t="s">
        <v>46</v>
      </c>
      <c r="E565" t="s">
        <v>55</v>
      </c>
      <c r="F565" t="s">
        <v>52</v>
      </c>
      <c r="G565" t="s">
        <v>44</v>
      </c>
      <c r="H565" t="s">
        <v>44</v>
      </c>
      <c r="I565" t="s">
        <v>44</v>
      </c>
      <c r="J565" t="s">
        <v>45</v>
      </c>
      <c r="K565" s="9">
        <v>22</v>
      </c>
      <c r="L565" s="10">
        <f>IFERROR(VLOOKUP(C565,Parâmetros!$A$5:$D$7,IF(D565="Mensal",2,IF(D565="Trimestral",3,4)),0),0)</f>
        <v>14.99</v>
      </c>
      <c r="M565" s="10">
        <f>IF(G565="Sim",VLOOKUP("EA Play",Parâmetros!$A$11:$B$13,2,0),0)*K565</f>
        <v>0</v>
      </c>
      <c r="N565" s="10">
        <f>IF(H565="Sim",VLOOKUP("Minecraft Pass",Parâmetros!$A$11:$B$13,2,0),0)*K565</f>
        <v>0</v>
      </c>
      <c r="O565" s="10">
        <f>IF(I565="Sim",VLOOKUP("Call of Duty Pass",Parâmetros!$A$11:$B$13,2,0),0)*K565</f>
        <v>0</v>
      </c>
      <c r="P565" s="10">
        <f>(L565*K565+M565+N565+O565)*IF(F565="Promoção",1-Parâmetros!$B$22,1)</f>
        <v>329.78000000000003</v>
      </c>
      <c r="Q565" s="10">
        <f>Parâmetros!$B$20*K565</f>
        <v>264</v>
      </c>
      <c r="R565" s="10">
        <f>P565-Q565</f>
        <v>65.78000000000003</v>
      </c>
    </row>
    <row r="566" spans="1:18">
      <c r="A566">
        <v>565</v>
      </c>
      <c r="B566" s="8">
        <v>45568</v>
      </c>
      <c r="C566" t="s">
        <v>6</v>
      </c>
      <c r="D566" t="s">
        <v>46</v>
      </c>
      <c r="E566" t="s">
        <v>51</v>
      </c>
      <c r="F566" t="s">
        <v>42</v>
      </c>
      <c r="G566" t="s">
        <v>44</v>
      </c>
      <c r="H566" t="s">
        <v>44</v>
      </c>
      <c r="I566" t="s">
        <v>44</v>
      </c>
      <c r="J566" t="s">
        <v>45</v>
      </c>
      <c r="K566" s="9">
        <v>13</v>
      </c>
      <c r="L566" s="10">
        <f>IFERROR(VLOOKUP(C566,Parâmetros!$A$5:$D$7,IF(D566="Mensal",2,IF(D566="Trimestral",3,4)),0),0)</f>
        <v>9.99</v>
      </c>
      <c r="M566" s="10">
        <f>IF(G566="Sim",VLOOKUP("EA Play",Parâmetros!$A$11:$B$13,2,0),0)*K566</f>
        <v>0</v>
      </c>
      <c r="N566" s="10">
        <f>IF(H566="Sim",VLOOKUP("Minecraft Pass",Parâmetros!$A$11:$B$13,2,0),0)*K566</f>
        <v>0</v>
      </c>
      <c r="O566" s="10">
        <f>IF(I566="Sim",VLOOKUP("Call of Duty Pass",Parâmetros!$A$11:$B$13,2,0),0)*K566</f>
        <v>0</v>
      </c>
      <c r="P566" s="10">
        <f>(L566*K566+M566+N566+O566)*IF(F566="Promoção",1-Parâmetros!$B$22,1)</f>
        <v>129.87</v>
      </c>
      <c r="Q566" s="10">
        <f>Parâmetros!$B$20*K566</f>
        <v>156</v>
      </c>
      <c r="R566" s="10">
        <f>P566-Q566</f>
        <v>-26.129999999999995</v>
      </c>
    </row>
    <row r="567" spans="1:18">
      <c r="A567">
        <v>566</v>
      </c>
      <c r="B567" s="8">
        <v>45824</v>
      </c>
      <c r="C567" t="s">
        <v>6</v>
      </c>
      <c r="D567" t="s">
        <v>40</v>
      </c>
      <c r="E567" t="s">
        <v>41</v>
      </c>
      <c r="F567" t="s">
        <v>48</v>
      </c>
      <c r="G567" t="s">
        <v>44</v>
      </c>
      <c r="H567" t="s">
        <v>44</v>
      </c>
      <c r="I567" t="s">
        <v>43</v>
      </c>
      <c r="J567" t="s">
        <v>49</v>
      </c>
      <c r="K567" s="9">
        <v>7</v>
      </c>
      <c r="L567" s="10">
        <f>IFERROR(VLOOKUP(C567,Parâmetros!$A$5:$D$7,IF(D567="Mensal",2,IF(D567="Trimestral",3,4)),0),0)</f>
        <v>27</v>
      </c>
      <c r="M567" s="10">
        <f>IF(G567="Sim",VLOOKUP("EA Play",Parâmetros!$A$11:$B$13,2,0),0)*K567</f>
        <v>0</v>
      </c>
      <c r="N567" s="10">
        <f>IF(H567="Sim",VLOOKUP("Minecraft Pass",Parâmetros!$A$11:$B$13,2,0),0)*K567</f>
        <v>0</v>
      </c>
      <c r="O567" s="10">
        <f>IF(I567="Sim",VLOOKUP("Call of Duty Pass",Parâmetros!$A$11:$B$13,2,0),0)*K567</f>
        <v>48.93</v>
      </c>
      <c r="P567" s="10">
        <f>(L567*K567+M567+N567+O567)*IF(F567="Promoção",1-Parâmetros!$B$22,1)</f>
        <v>237.93</v>
      </c>
      <c r="Q567" s="10">
        <f>Parâmetros!$B$20*K567</f>
        <v>84</v>
      </c>
      <c r="R567" s="10">
        <f>P567-Q567</f>
        <v>153.93</v>
      </c>
    </row>
    <row r="568" spans="1:18">
      <c r="A568">
        <v>567</v>
      </c>
      <c r="B568" s="8">
        <v>45993</v>
      </c>
      <c r="C568" t="s">
        <v>7</v>
      </c>
      <c r="D568" t="s">
        <v>46</v>
      </c>
      <c r="E568" t="s">
        <v>41</v>
      </c>
      <c r="F568" t="s">
        <v>42</v>
      </c>
      <c r="G568" t="s">
        <v>43</v>
      </c>
      <c r="H568" t="s">
        <v>43</v>
      </c>
      <c r="I568" t="s">
        <v>44</v>
      </c>
      <c r="J568" t="s">
        <v>45</v>
      </c>
      <c r="K568" s="9">
        <v>14</v>
      </c>
      <c r="L568" s="10">
        <f>IFERROR(VLOOKUP(C568,Parâmetros!$A$5:$D$7,IF(D568="Mensal",2,IF(D568="Trimestral",3,4)),0),0)</f>
        <v>14.99</v>
      </c>
      <c r="M568" s="10">
        <f>IF(G568="Sim",VLOOKUP("EA Play",Parâmetros!$A$11:$B$13,2,0),0)*K568</f>
        <v>69.86</v>
      </c>
      <c r="N568" s="10">
        <f>IF(H568="Sim",VLOOKUP("Minecraft Pass",Parâmetros!$A$11:$B$13,2,0),0)*K568</f>
        <v>55.86</v>
      </c>
      <c r="O568" s="10">
        <f>IF(I568="Sim",VLOOKUP("Call of Duty Pass",Parâmetros!$A$11:$B$13,2,0),0)*K568</f>
        <v>0</v>
      </c>
      <c r="P568" s="10">
        <f>(L568*K568+M568+N568+O568)*IF(F568="Promoção",1-Parâmetros!$B$22,1)</f>
        <v>335.58000000000004</v>
      </c>
      <c r="Q568" s="10">
        <f>Parâmetros!$B$20*K568</f>
        <v>168</v>
      </c>
      <c r="R568" s="10">
        <f>P568-Q568</f>
        <v>167.58000000000004</v>
      </c>
    </row>
    <row r="569" spans="1:18">
      <c r="A569">
        <v>568</v>
      </c>
      <c r="B569" s="8">
        <v>45905</v>
      </c>
      <c r="C569" t="s">
        <v>7</v>
      </c>
      <c r="D569" t="s">
        <v>40</v>
      </c>
      <c r="E569" t="s">
        <v>41</v>
      </c>
      <c r="F569" t="s">
        <v>54</v>
      </c>
      <c r="G569" t="s">
        <v>43</v>
      </c>
      <c r="H569" t="s">
        <v>44</v>
      </c>
      <c r="I569" t="s">
        <v>44</v>
      </c>
      <c r="J569" t="s">
        <v>45</v>
      </c>
      <c r="K569" s="9">
        <v>12</v>
      </c>
      <c r="L569" s="10">
        <f>IFERROR(VLOOKUP(C569,Parâmetros!$A$5:$D$7,IF(D569="Mensal",2,IF(D569="Trimestral",3,4)),0),0)</f>
        <v>40</v>
      </c>
      <c r="M569" s="10">
        <f>IF(G569="Sim",VLOOKUP("EA Play",Parâmetros!$A$11:$B$13,2,0),0)*K569</f>
        <v>59.88</v>
      </c>
      <c r="N569" s="10">
        <f>IF(H569="Sim",VLOOKUP("Minecraft Pass",Parâmetros!$A$11:$B$13,2,0),0)*K569</f>
        <v>0</v>
      </c>
      <c r="O569" s="10">
        <f>IF(I569="Sim",VLOOKUP("Call of Duty Pass",Parâmetros!$A$11:$B$13,2,0),0)*K569</f>
        <v>0</v>
      </c>
      <c r="P569" s="10">
        <f>(L569*K569+M569+N569+O569)*IF(F569="Promoção",1-Parâmetros!$B$22,1)</f>
        <v>485.892</v>
      </c>
      <c r="Q569" s="10">
        <f>Parâmetros!$B$20*K569</f>
        <v>144</v>
      </c>
      <c r="R569" s="10">
        <f>P569-Q569</f>
        <v>341.892</v>
      </c>
    </row>
    <row r="570" spans="1:18">
      <c r="A570">
        <v>569</v>
      </c>
      <c r="B570" s="8">
        <v>45405</v>
      </c>
      <c r="C570" t="s">
        <v>7</v>
      </c>
      <c r="D570" t="s">
        <v>46</v>
      </c>
      <c r="E570" t="s">
        <v>47</v>
      </c>
      <c r="F570" t="s">
        <v>54</v>
      </c>
      <c r="G570" t="s">
        <v>44</v>
      </c>
      <c r="H570" t="s">
        <v>44</v>
      </c>
      <c r="I570" t="s">
        <v>43</v>
      </c>
      <c r="J570" t="s">
        <v>49</v>
      </c>
      <c r="K570" s="9">
        <v>21</v>
      </c>
      <c r="L570" s="10">
        <f>IFERROR(VLOOKUP(C570,Parâmetros!$A$5:$D$7,IF(D570="Mensal",2,IF(D570="Trimestral",3,4)),0),0)</f>
        <v>14.99</v>
      </c>
      <c r="M570" s="10">
        <f>IF(G570="Sim",VLOOKUP("EA Play",Parâmetros!$A$11:$B$13,2,0),0)*K570</f>
        <v>0</v>
      </c>
      <c r="N570" s="10">
        <f>IF(H570="Sim",VLOOKUP("Minecraft Pass",Parâmetros!$A$11:$B$13,2,0),0)*K570</f>
        <v>0</v>
      </c>
      <c r="O570" s="10">
        <f>IF(I570="Sim",VLOOKUP("Call of Duty Pass",Parâmetros!$A$11:$B$13,2,0),0)*K570</f>
        <v>146.79</v>
      </c>
      <c r="P570" s="10">
        <f>(L570*K570+M570+N570+O570)*IF(F570="Promoção",1-Parâmetros!$B$22,1)</f>
        <v>415.42200000000003</v>
      </c>
      <c r="Q570" s="10">
        <f>Parâmetros!$B$20*K570</f>
        <v>252</v>
      </c>
      <c r="R570" s="10">
        <f>P570-Q570</f>
        <v>163.42200000000003</v>
      </c>
    </row>
    <row r="571" spans="1:18">
      <c r="A571">
        <v>570</v>
      </c>
      <c r="B571" s="8">
        <v>45555</v>
      </c>
      <c r="C571" t="s">
        <v>6</v>
      </c>
      <c r="D571" t="s">
        <v>46</v>
      </c>
      <c r="E571" t="s">
        <v>51</v>
      </c>
      <c r="F571" t="s">
        <v>42</v>
      </c>
      <c r="G571" t="s">
        <v>43</v>
      </c>
      <c r="H571" t="s">
        <v>43</v>
      </c>
      <c r="I571" t="s">
        <v>44</v>
      </c>
      <c r="J571" t="s">
        <v>49</v>
      </c>
      <c r="K571" s="9">
        <v>29</v>
      </c>
      <c r="L571" s="10">
        <f>IFERROR(VLOOKUP(C571,Parâmetros!$A$5:$D$7,IF(D571="Mensal",2,IF(D571="Trimestral",3,4)),0),0)</f>
        <v>9.99</v>
      </c>
      <c r="M571" s="10">
        <f>IF(G571="Sim",VLOOKUP("EA Play",Parâmetros!$A$11:$B$13,2,0),0)*K571</f>
        <v>144.71</v>
      </c>
      <c r="N571" s="10">
        <f>IF(H571="Sim",VLOOKUP("Minecraft Pass",Parâmetros!$A$11:$B$13,2,0),0)*K571</f>
        <v>115.71000000000001</v>
      </c>
      <c r="O571" s="10">
        <f>IF(I571="Sim",VLOOKUP("Call of Duty Pass",Parâmetros!$A$11:$B$13,2,0),0)*K571</f>
        <v>0</v>
      </c>
      <c r="P571" s="10">
        <f>(L571*K571+M571+N571+O571)*IF(F571="Promoção",1-Parâmetros!$B$22,1)</f>
        <v>550.13</v>
      </c>
      <c r="Q571" s="10">
        <f>Parâmetros!$B$20*K571</f>
        <v>348</v>
      </c>
      <c r="R571" s="10">
        <f>P571-Q571</f>
        <v>202.13</v>
      </c>
    </row>
    <row r="572" spans="1:18">
      <c r="A572">
        <v>571</v>
      </c>
      <c r="B572" s="8">
        <v>45363</v>
      </c>
      <c r="C572" t="s">
        <v>7</v>
      </c>
      <c r="D572" t="s">
        <v>50</v>
      </c>
      <c r="E572" t="s">
        <v>47</v>
      </c>
      <c r="F572" t="s">
        <v>42</v>
      </c>
      <c r="G572" t="s">
        <v>44</v>
      </c>
      <c r="H572" t="s">
        <v>43</v>
      </c>
      <c r="I572" t="s">
        <v>44</v>
      </c>
      <c r="J572" t="s">
        <v>49</v>
      </c>
      <c r="K572" s="9">
        <v>7</v>
      </c>
      <c r="L572" s="10">
        <f>IFERROR(VLOOKUP(C572,Parâmetros!$A$5:$D$7,IF(D572="Mensal",2,IF(D572="Trimestral",3,4)),0),0)</f>
        <v>149</v>
      </c>
      <c r="M572" s="10">
        <f>IF(G572="Sim",VLOOKUP("EA Play",Parâmetros!$A$11:$B$13,2,0),0)*K572</f>
        <v>0</v>
      </c>
      <c r="N572" s="10">
        <f>IF(H572="Sim",VLOOKUP("Minecraft Pass",Parâmetros!$A$11:$B$13,2,0),0)*K572</f>
        <v>27.93</v>
      </c>
      <c r="O572" s="10">
        <f>IF(I572="Sim",VLOOKUP("Call of Duty Pass",Parâmetros!$A$11:$B$13,2,0),0)*K572</f>
        <v>0</v>
      </c>
      <c r="P572" s="10">
        <f>(L572*K572+M572+N572+O572)*IF(F572="Promoção",1-Parâmetros!$B$22,1)</f>
        <v>1070.93</v>
      </c>
      <c r="Q572" s="10">
        <f>Parâmetros!$B$20*K572</f>
        <v>84</v>
      </c>
      <c r="R572" s="10">
        <f>P572-Q572</f>
        <v>986.93000000000006</v>
      </c>
    </row>
    <row r="573" spans="1:18">
      <c r="A573">
        <v>572</v>
      </c>
      <c r="B573" s="8">
        <v>45744</v>
      </c>
      <c r="C573" t="s">
        <v>7</v>
      </c>
      <c r="D573" t="s">
        <v>46</v>
      </c>
      <c r="E573" t="s">
        <v>41</v>
      </c>
      <c r="F573" t="s">
        <v>48</v>
      </c>
      <c r="G573" t="s">
        <v>43</v>
      </c>
      <c r="H573" t="s">
        <v>44</v>
      </c>
      <c r="I573" t="s">
        <v>44</v>
      </c>
      <c r="J573" t="s">
        <v>49</v>
      </c>
      <c r="K573" s="9">
        <v>1</v>
      </c>
      <c r="L573" s="10">
        <f>IFERROR(VLOOKUP(C573,Parâmetros!$A$5:$D$7,IF(D573="Mensal",2,IF(D573="Trimestral",3,4)),0),0)</f>
        <v>14.99</v>
      </c>
      <c r="M573" s="10">
        <f>IF(G573="Sim",VLOOKUP("EA Play",Parâmetros!$A$11:$B$13,2,0),0)*K573</f>
        <v>4.99</v>
      </c>
      <c r="N573" s="10">
        <f>IF(H573="Sim",VLOOKUP("Minecraft Pass",Parâmetros!$A$11:$B$13,2,0),0)*K573</f>
        <v>0</v>
      </c>
      <c r="O573" s="10">
        <f>IF(I573="Sim",VLOOKUP("Call of Duty Pass",Parâmetros!$A$11:$B$13,2,0),0)*K573</f>
        <v>0</v>
      </c>
      <c r="P573" s="10">
        <f>(L573*K573+M573+N573+O573)*IF(F573="Promoção",1-Parâmetros!$B$22,1)</f>
        <v>19.98</v>
      </c>
      <c r="Q573" s="10">
        <f>Parâmetros!$B$20*K573</f>
        <v>12</v>
      </c>
      <c r="R573" s="10">
        <f>P573-Q573</f>
        <v>7.98</v>
      </c>
    </row>
    <row r="574" spans="1:18">
      <c r="A574">
        <v>573</v>
      </c>
      <c r="B574" s="8">
        <v>45330</v>
      </c>
      <c r="C574" t="s">
        <v>7</v>
      </c>
      <c r="D574" t="s">
        <v>46</v>
      </c>
      <c r="E574" t="s">
        <v>51</v>
      </c>
      <c r="F574" t="s">
        <v>54</v>
      </c>
      <c r="G574" t="s">
        <v>44</v>
      </c>
      <c r="H574" t="s">
        <v>44</v>
      </c>
      <c r="I574" t="s">
        <v>44</v>
      </c>
      <c r="J574" t="s">
        <v>49</v>
      </c>
      <c r="K574" s="9">
        <v>28</v>
      </c>
      <c r="L574" s="10">
        <f>IFERROR(VLOOKUP(C574,Parâmetros!$A$5:$D$7,IF(D574="Mensal",2,IF(D574="Trimestral",3,4)),0),0)</f>
        <v>14.99</v>
      </c>
      <c r="M574" s="10">
        <f>IF(G574="Sim",VLOOKUP("EA Play",Parâmetros!$A$11:$B$13,2,0),0)*K574</f>
        <v>0</v>
      </c>
      <c r="N574" s="10">
        <f>IF(H574="Sim",VLOOKUP("Minecraft Pass",Parâmetros!$A$11:$B$13,2,0),0)*K574</f>
        <v>0</v>
      </c>
      <c r="O574" s="10">
        <f>IF(I574="Sim",VLOOKUP("Call of Duty Pass",Parâmetros!$A$11:$B$13,2,0),0)*K574</f>
        <v>0</v>
      </c>
      <c r="P574" s="10">
        <f>(L574*K574+M574+N574+O574)*IF(F574="Promoção",1-Parâmetros!$B$22,1)</f>
        <v>377.74800000000005</v>
      </c>
      <c r="Q574" s="10">
        <f>Parâmetros!$B$20*K574</f>
        <v>336</v>
      </c>
      <c r="R574" s="10">
        <f>P574-Q574</f>
        <v>41.748000000000047</v>
      </c>
    </row>
    <row r="575" spans="1:18">
      <c r="A575">
        <v>574</v>
      </c>
      <c r="B575" s="8">
        <v>45705</v>
      </c>
      <c r="C575" t="s">
        <v>8</v>
      </c>
      <c r="D575" t="s">
        <v>40</v>
      </c>
      <c r="E575" t="s">
        <v>51</v>
      </c>
      <c r="F575" t="s">
        <v>48</v>
      </c>
      <c r="G575" t="s">
        <v>43</v>
      </c>
      <c r="H575" t="s">
        <v>44</v>
      </c>
      <c r="I575" t="s">
        <v>44</v>
      </c>
      <c r="J575" t="s">
        <v>49</v>
      </c>
      <c r="K575" s="9">
        <v>35</v>
      </c>
      <c r="L575" s="10">
        <f>IFERROR(VLOOKUP(C575,Parâmetros!$A$5:$D$7,IF(D575="Mensal",2,IF(D575="Trimestral",3,4)),0),0)</f>
        <v>59</v>
      </c>
      <c r="M575" s="10">
        <f>IF(G575="Sim",VLOOKUP("EA Play",Parâmetros!$A$11:$B$13,2,0),0)*K575</f>
        <v>174.65</v>
      </c>
      <c r="N575" s="10">
        <f>IF(H575="Sim",VLOOKUP("Minecraft Pass",Parâmetros!$A$11:$B$13,2,0),0)*K575</f>
        <v>0</v>
      </c>
      <c r="O575" s="10">
        <f>IF(I575="Sim",VLOOKUP("Call of Duty Pass",Parâmetros!$A$11:$B$13,2,0),0)*K575</f>
        <v>0</v>
      </c>
      <c r="P575" s="10">
        <f>(L575*K575+M575+N575+O575)*IF(F575="Promoção",1-Parâmetros!$B$22,1)</f>
        <v>2239.65</v>
      </c>
      <c r="Q575" s="10">
        <f>Parâmetros!$B$20*K575</f>
        <v>420</v>
      </c>
      <c r="R575" s="10">
        <f>P575-Q575</f>
        <v>1819.65</v>
      </c>
    </row>
    <row r="576" spans="1:18">
      <c r="A576">
        <v>575</v>
      </c>
      <c r="B576" s="8">
        <v>45659</v>
      </c>
      <c r="C576" t="s">
        <v>6</v>
      </c>
      <c r="D576" t="s">
        <v>46</v>
      </c>
      <c r="E576" t="s">
        <v>41</v>
      </c>
      <c r="F576" t="s">
        <v>54</v>
      </c>
      <c r="G576" t="s">
        <v>44</v>
      </c>
      <c r="H576" t="s">
        <v>43</v>
      </c>
      <c r="I576" t="s">
        <v>44</v>
      </c>
      <c r="J576" t="s">
        <v>49</v>
      </c>
      <c r="K576" s="9">
        <v>30</v>
      </c>
      <c r="L576" s="10">
        <f>IFERROR(VLOOKUP(C576,Parâmetros!$A$5:$D$7,IF(D576="Mensal",2,IF(D576="Trimestral",3,4)),0),0)</f>
        <v>9.99</v>
      </c>
      <c r="M576" s="10">
        <f>IF(G576="Sim",VLOOKUP("EA Play",Parâmetros!$A$11:$B$13,2,0),0)*K576</f>
        <v>0</v>
      </c>
      <c r="N576" s="10">
        <f>IF(H576="Sim",VLOOKUP("Minecraft Pass",Parâmetros!$A$11:$B$13,2,0),0)*K576</f>
        <v>119.7</v>
      </c>
      <c r="O576" s="10">
        <f>IF(I576="Sim",VLOOKUP("Call of Duty Pass",Parâmetros!$A$11:$B$13,2,0),0)*K576</f>
        <v>0</v>
      </c>
      <c r="P576" s="10">
        <f>(L576*K576+M576+N576+O576)*IF(F576="Promoção",1-Parâmetros!$B$22,1)</f>
        <v>377.46</v>
      </c>
      <c r="Q576" s="10">
        <f>Parâmetros!$B$20*K576</f>
        <v>360</v>
      </c>
      <c r="R576" s="10">
        <f>P576-Q576</f>
        <v>17.45999999999998</v>
      </c>
    </row>
    <row r="577" spans="1:18">
      <c r="A577">
        <v>576</v>
      </c>
      <c r="B577" s="8">
        <v>45588</v>
      </c>
      <c r="C577" t="s">
        <v>7</v>
      </c>
      <c r="D577" t="s">
        <v>46</v>
      </c>
      <c r="E577" t="s">
        <v>41</v>
      </c>
      <c r="F577" t="s">
        <v>42</v>
      </c>
      <c r="G577" t="s">
        <v>43</v>
      </c>
      <c r="H577" t="s">
        <v>44</v>
      </c>
      <c r="I577" t="s">
        <v>44</v>
      </c>
      <c r="J577" t="s">
        <v>45</v>
      </c>
      <c r="K577" s="9">
        <v>23</v>
      </c>
      <c r="L577" s="10">
        <f>IFERROR(VLOOKUP(C577,Parâmetros!$A$5:$D$7,IF(D577="Mensal",2,IF(D577="Trimestral",3,4)),0),0)</f>
        <v>14.99</v>
      </c>
      <c r="M577" s="10">
        <f>IF(G577="Sim",VLOOKUP("EA Play",Parâmetros!$A$11:$B$13,2,0),0)*K577</f>
        <v>114.77000000000001</v>
      </c>
      <c r="N577" s="10">
        <f>IF(H577="Sim",VLOOKUP("Minecraft Pass",Parâmetros!$A$11:$B$13,2,0),0)*K577</f>
        <v>0</v>
      </c>
      <c r="O577" s="10">
        <f>IF(I577="Sim",VLOOKUP("Call of Duty Pass",Parâmetros!$A$11:$B$13,2,0),0)*K577</f>
        <v>0</v>
      </c>
      <c r="P577" s="10">
        <f>(L577*K577+M577+N577+O577)*IF(F577="Promoção",1-Parâmetros!$B$22,1)</f>
        <v>459.53999999999996</v>
      </c>
      <c r="Q577" s="10">
        <f>Parâmetros!$B$20*K577</f>
        <v>276</v>
      </c>
      <c r="R577" s="10">
        <f>P577-Q577</f>
        <v>183.53999999999996</v>
      </c>
    </row>
    <row r="578" spans="1:18">
      <c r="A578">
        <v>577</v>
      </c>
      <c r="B578" s="8">
        <v>45790</v>
      </c>
      <c r="C578" t="s">
        <v>6</v>
      </c>
      <c r="D578" t="s">
        <v>40</v>
      </c>
      <c r="E578" t="s">
        <v>51</v>
      </c>
      <c r="F578" t="s">
        <v>42</v>
      </c>
      <c r="G578" t="s">
        <v>43</v>
      </c>
      <c r="H578" t="s">
        <v>44</v>
      </c>
      <c r="I578" t="s">
        <v>44</v>
      </c>
      <c r="J578" t="s">
        <v>49</v>
      </c>
      <c r="K578" s="9">
        <v>5</v>
      </c>
      <c r="L578" s="10">
        <f>IFERROR(VLOOKUP(C578,Parâmetros!$A$5:$D$7,IF(D578="Mensal",2,IF(D578="Trimestral",3,4)),0),0)</f>
        <v>27</v>
      </c>
      <c r="M578" s="10">
        <f>IF(G578="Sim",VLOOKUP("EA Play",Parâmetros!$A$11:$B$13,2,0),0)*K578</f>
        <v>24.950000000000003</v>
      </c>
      <c r="N578" s="10">
        <f>IF(H578="Sim",VLOOKUP("Minecraft Pass",Parâmetros!$A$11:$B$13,2,0),0)*K578</f>
        <v>0</v>
      </c>
      <c r="O578" s="10">
        <f>IF(I578="Sim",VLOOKUP("Call of Duty Pass",Parâmetros!$A$11:$B$13,2,0),0)*K578</f>
        <v>0</v>
      </c>
      <c r="P578" s="10">
        <f>(L578*K578+M578+N578+O578)*IF(F578="Promoção",1-Parâmetros!$B$22,1)</f>
        <v>159.94999999999999</v>
      </c>
      <c r="Q578" s="10">
        <f>Parâmetros!$B$20*K578</f>
        <v>60</v>
      </c>
      <c r="R578" s="10">
        <f>P578-Q578</f>
        <v>99.949999999999989</v>
      </c>
    </row>
    <row r="579" spans="1:18">
      <c r="A579">
        <v>578</v>
      </c>
      <c r="B579" s="8">
        <v>45845</v>
      </c>
      <c r="C579" t="s">
        <v>7</v>
      </c>
      <c r="D579" t="s">
        <v>46</v>
      </c>
      <c r="E579" t="s">
        <v>53</v>
      </c>
      <c r="F579" t="s">
        <v>54</v>
      </c>
      <c r="G579" t="s">
        <v>44</v>
      </c>
      <c r="H579" t="s">
        <v>43</v>
      </c>
      <c r="I579" t="s">
        <v>44</v>
      </c>
      <c r="J579" t="s">
        <v>49</v>
      </c>
      <c r="K579" s="9">
        <v>3</v>
      </c>
      <c r="L579" s="10">
        <f>IFERROR(VLOOKUP(C579,Parâmetros!$A$5:$D$7,IF(D579="Mensal",2,IF(D579="Trimestral",3,4)),0),0)</f>
        <v>14.99</v>
      </c>
      <c r="M579" s="10">
        <f>IF(G579="Sim",VLOOKUP("EA Play",Parâmetros!$A$11:$B$13,2,0),0)*K579</f>
        <v>0</v>
      </c>
      <c r="N579" s="10">
        <f>IF(H579="Sim",VLOOKUP("Minecraft Pass",Parâmetros!$A$11:$B$13,2,0),0)*K579</f>
        <v>11.97</v>
      </c>
      <c r="O579" s="10">
        <f>IF(I579="Sim",VLOOKUP("Call of Duty Pass",Parâmetros!$A$11:$B$13,2,0),0)*K579</f>
        <v>0</v>
      </c>
      <c r="P579" s="10">
        <f>(L579*K579+M579+N579+O579)*IF(F579="Promoção",1-Parâmetros!$B$22,1)</f>
        <v>51.246000000000002</v>
      </c>
      <c r="Q579" s="10">
        <f>Parâmetros!$B$20*K579</f>
        <v>36</v>
      </c>
      <c r="R579" s="10">
        <f>P579-Q579</f>
        <v>15.246000000000002</v>
      </c>
    </row>
    <row r="580" spans="1:18">
      <c r="A580">
        <v>579</v>
      </c>
      <c r="B580" s="8">
        <v>45707</v>
      </c>
      <c r="C580" t="s">
        <v>6</v>
      </c>
      <c r="D580" t="s">
        <v>50</v>
      </c>
      <c r="E580" t="s">
        <v>51</v>
      </c>
      <c r="F580" t="s">
        <v>48</v>
      </c>
      <c r="G580" t="s">
        <v>44</v>
      </c>
      <c r="H580" t="s">
        <v>44</v>
      </c>
      <c r="I580" t="s">
        <v>43</v>
      </c>
      <c r="J580" t="s">
        <v>45</v>
      </c>
      <c r="K580" s="9">
        <v>5</v>
      </c>
      <c r="L580" s="10">
        <f>IFERROR(VLOOKUP(C580,Parâmetros!$A$5:$D$7,IF(D580="Mensal",2,IF(D580="Trimestral",3,4)),0),0)</f>
        <v>99</v>
      </c>
      <c r="M580" s="10">
        <f>IF(G580="Sim",VLOOKUP("EA Play",Parâmetros!$A$11:$B$13,2,0),0)*K580</f>
        <v>0</v>
      </c>
      <c r="N580" s="10">
        <f>IF(H580="Sim",VLOOKUP("Minecraft Pass",Parâmetros!$A$11:$B$13,2,0),0)*K580</f>
        <v>0</v>
      </c>
      <c r="O580" s="10">
        <f>IF(I580="Sim",VLOOKUP("Call of Duty Pass",Parâmetros!$A$11:$B$13,2,0),0)*K580</f>
        <v>34.950000000000003</v>
      </c>
      <c r="P580" s="10">
        <f>(L580*K580+M580+N580+O580)*IF(F580="Promoção",1-Parâmetros!$B$22,1)</f>
        <v>529.95000000000005</v>
      </c>
      <c r="Q580" s="10">
        <f>Parâmetros!$B$20*K580</f>
        <v>60</v>
      </c>
      <c r="R580" s="10">
        <f>P580-Q580</f>
        <v>469.95000000000005</v>
      </c>
    </row>
    <row r="581" spans="1:18">
      <c r="A581">
        <v>580</v>
      </c>
      <c r="B581" s="8">
        <v>45329</v>
      </c>
      <c r="C581" t="s">
        <v>7</v>
      </c>
      <c r="D581" t="s">
        <v>46</v>
      </c>
      <c r="E581" t="s">
        <v>41</v>
      </c>
      <c r="F581" t="s">
        <v>54</v>
      </c>
      <c r="G581" t="s">
        <v>44</v>
      </c>
      <c r="H581" t="s">
        <v>43</v>
      </c>
      <c r="I581" t="s">
        <v>44</v>
      </c>
      <c r="J581" t="s">
        <v>49</v>
      </c>
      <c r="K581" s="9">
        <v>4</v>
      </c>
      <c r="L581" s="10">
        <f>IFERROR(VLOOKUP(C581,Parâmetros!$A$5:$D$7,IF(D581="Mensal",2,IF(D581="Trimestral",3,4)),0),0)</f>
        <v>14.99</v>
      </c>
      <c r="M581" s="10">
        <f>IF(G581="Sim",VLOOKUP("EA Play",Parâmetros!$A$11:$B$13,2,0),0)*K581</f>
        <v>0</v>
      </c>
      <c r="N581" s="10">
        <f>IF(H581="Sim",VLOOKUP("Minecraft Pass",Parâmetros!$A$11:$B$13,2,0),0)*K581</f>
        <v>15.96</v>
      </c>
      <c r="O581" s="10">
        <f>IF(I581="Sim",VLOOKUP("Call of Duty Pass",Parâmetros!$A$11:$B$13,2,0),0)*K581</f>
        <v>0</v>
      </c>
      <c r="P581" s="10">
        <f>(L581*K581+M581+N581+O581)*IF(F581="Promoção",1-Parâmetros!$B$22,1)</f>
        <v>68.328000000000003</v>
      </c>
      <c r="Q581" s="10">
        <f>Parâmetros!$B$20*K581</f>
        <v>48</v>
      </c>
      <c r="R581" s="10">
        <f>P581-Q581</f>
        <v>20.328000000000003</v>
      </c>
    </row>
    <row r="582" spans="1:18">
      <c r="A582">
        <v>581</v>
      </c>
      <c r="B582" s="8">
        <v>45606</v>
      </c>
      <c r="C582" t="s">
        <v>8</v>
      </c>
      <c r="D582" t="s">
        <v>46</v>
      </c>
      <c r="E582" t="s">
        <v>47</v>
      </c>
      <c r="F582" t="s">
        <v>54</v>
      </c>
      <c r="G582" t="s">
        <v>43</v>
      </c>
      <c r="H582" t="s">
        <v>44</v>
      </c>
      <c r="I582" t="s">
        <v>43</v>
      </c>
      <c r="J582" t="s">
        <v>45</v>
      </c>
      <c r="K582" s="9">
        <v>15</v>
      </c>
      <c r="L582" s="10">
        <f>IFERROR(VLOOKUP(C582,Parâmetros!$A$5:$D$7,IF(D582="Mensal",2,IF(D582="Trimestral",3,4)),0),0)</f>
        <v>21.99</v>
      </c>
      <c r="M582" s="10">
        <f>IF(G582="Sim",VLOOKUP("EA Play",Parâmetros!$A$11:$B$13,2,0),0)*K582</f>
        <v>74.850000000000009</v>
      </c>
      <c r="N582" s="10">
        <f>IF(H582="Sim",VLOOKUP("Minecraft Pass",Parâmetros!$A$11:$B$13,2,0),0)*K582</f>
        <v>0</v>
      </c>
      <c r="O582" s="10">
        <f>IF(I582="Sim",VLOOKUP("Call of Duty Pass",Parâmetros!$A$11:$B$13,2,0),0)*K582</f>
        <v>104.85000000000001</v>
      </c>
      <c r="P582" s="10">
        <f>(L582*K582+M582+N582+O582)*IF(F582="Promoção",1-Parâmetros!$B$22,1)</f>
        <v>458.59500000000003</v>
      </c>
      <c r="Q582" s="10">
        <f>Parâmetros!$B$20*K582</f>
        <v>180</v>
      </c>
      <c r="R582" s="10">
        <f>P582-Q582</f>
        <v>278.59500000000003</v>
      </c>
    </row>
    <row r="583" spans="1:18">
      <c r="A583">
        <v>582</v>
      </c>
      <c r="B583" s="8">
        <v>45356</v>
      </c>
      <c r="C583" t="s">
        <v>8</v>
      </c>
      <c r="D583" t="s">
        <v>46</v>
      </c>
      <c r="E583" t="s">
        <v>51</v>
      </c>
      <c r="F583" t="s">
        <v>54</v>
      </c>
      <c r="G583" t="s">
        <v>44</v>
      </c>
      <c r="H583" t="s">
        <v>43</v>
      </c>
      <c r="I583" t="s">
        <v>44</v>
      </c>
      <c r="J583" t="s">
        <v>45</v>
      </c>
      <c r="K583" s="9">
        <v>9</v>
      </c>
      <c r="L583" s="10">
        <f>IFERROR(VLOOKUP(C583,Parâmetros!$A$5:$D$7,IF(D583="Mensal",2,IF(D583="Trimestral",3,4)),0),0)</f>
        <v>21.99</v>
      </c>
      <c r="M583" s="10">
        <f>IF(G583="Sim",VLOOKUP("EA Play",Parâmetros!$A$11:$B$13,2,0),0)*K583</f>
        <v>0</v>
      </c>
      <c r="N583" s="10">
        <f>IF(H583="Sim",VLOOKUP("Minecraft Pass",Parâmetros!$A$11:$B$13,2,0),0)*K583</f>
        <v>35.910000000000004</v>
      </c>
      <c r="O583" s="10">
        <f>IF(I583="Sim",VLOOKUP("Call of Duty Pass",Parâmetros!$A$11:$B$13,2,0),0)*K583</f>
        <v>0</v>
      </c>
      <c r="P583" s="10">
        <f>(L583*K583+M583+N583+O583)*IF(F583="Promoção",1-Parâmetros!$B$22,1)</f>
        <v>210.43799999999999</v>
      </c>
      <c r="Q583" s="10">
        <f>Parâmetros!$B$20*K583</f>
        <v>108</v>
      </c>
      <c r="R583" s="10">
        <f>P583-Q583</f>
        <v>102.43799999999999</v>
      </c>
    </row>
    <row r="584" spans="1:18">
      <c r="A584">
        <v>583</v>
      </c>
      <c r="B584" s="8">
        <v>45621</v>
      </c>
      <c r="C584" t="s">
        <v>8</v>
      </c>
      <c r="D584" t="s">
        <v>40</v>
      </c>
      <c r="E584" t="s">
        <v>51</v>
      </c>
      <c r="F584" t="s">
        <v>48</v>
      </c>
      <c r="G584" t="s">
        <v>43</v>
      </c>
      <c r="H584" t="s">
        <v>43</v>
      </c>
      <c r="I584" t="s">
        <v>43</v>
      </c>
      <c r="J584" t="s">
        <v>49</v>
      </c>
      <c r="K584" s="9">
        <v>24</v>
      </c>
      <c r="L584" s="10">
        <f>IFERROR(VLOOKUP(C584,Parâmetros!$A$5:$D$7,IF(D584="Mensal",2,IF(D584="Trimestral",3,4)),0),0)</f>
        <v>59</v>
      </c>
      <c r="M584" s="10">
        <f>IF(G584="Sim",VLOOKUP("EA Play",Parâmetros!$A$11:$B$13,2,0),0)*K584</f>
        <v>119.76</v>
      </c>
      <c r="N584" s="10">
        <f>IF(H584="Sim",VLOOKUP("Minecraft Pass",Parâmetros!$A$11:$B$13,2,0),0)*K584</f>
        <v>95.76</v>
      </c>
      <c r="O584" s="10">
        <f>IF(I584="Sim",VLOOKUP("Call of Duty Pass",Parâmetros!$A$11:$B$13,2,0),0)*K584</f>
        <v>167.76</v>
      </c>
      <c r="P584" s="10">
        <f>(L584*K584+M584+N584+O584)*IF(F584="Promoção",1-Parâmetros!$B$22,1)</f>
        <v>1799.28</v>
      </c>
      <c r="Q584" s="10">
        <f>Parâmetros!$B$20*K584</f>
        <v>288</v>
      </c>
      <c r="R584" s="10">
        <f>P584-Q584</f>
        <v>1511.28</v>
      </c>
    </row>
    <row r="585" spans="1:18">
      <c r="A585">
        <v>584</v>
      </c>
      <c r="B585" s="8">
        <v>45858</v>
      </c>
      <c r="C585" t="s">
        <v>6</v>
      </c>
      <c r="D585" t="s">
        <v>46</v>
      </c>
      <c r="E585" t="s">
        <v>47</v>
      </c>
      <c r="F585" t="s">
        <v>42</v>
      </c>
      <c r="G585" t="s">
        <v>44</v>
      </c>
      <c r="H585" t="s">
        <v>44</v>
      </c>
      <c r="I585" t="s">
        <v>44</v>
      </c>
      <c r="J585" t="s">
        <v>49</v>
      </c>
      <c r="K585" s="9">
        <v>32</v>
      </c>
      <c r="L585" s="10">
        <f>IFERROR(VLOOKUP(C585,Parâmetros!$A$5:$D$7,IF(D585="Mensal",2,IF(D585="Trimestral",3,4)),0),0)</f>
        <v>9.99</v>
      </c>
      <c r="M585" s="10">
        <f>IF(G585="Sim",VLOOKUP("EA Play",Parâmetros!$A$11:$B$13,2,0),0)*K585</f>
        <v>0</v>
      </c>
      <c r="N585" s="10">
        <f>IF(H585="Sim",VLOOKUP("Minecraft Pass",Parâmetros!$A$11:$B$13,2,0),0)*K585</f>
        <v>0</v>
      </c>
      <c r="O585" s="10">
        <f>IF(I585="Sim",VLOOKUP("Call of Duty Pass",Parâmetros!$A$11:$B$13,2,0),0)*K585</f>
        <v>0</v>
      </c>
      <c r="P585" s="10">
        <f>(L585*K585+M585+N585+O585)*IF(F585="Promoção",1-Parâmetros!$B$22,1)</f>
        <v>319.68</v>
      </c>
      <c r="Q585" s="10">
        <f>Parâmetros!$B$20*K585</f>
        <v>384</v>
      </c>
      <c r="R585" s="10">
        <f>P585-Q585</f>
        <v>-64.319999999999993</v>
      </c>
    </row>
    <row r="586" spans="1:18">
      <c r="A586">
        <v>585</v>
      </c>
      <c r="B586" s="8">
        <v>45374</v>
      </c>
      <c r="C586" t="s">
        <v>6</v>
      </c>
      <c r="D586" t="s">
        <v>46</v>
      </c>
      <c r="E586" t="s">
        <v>41</v>
      </c>
      <c r="F586" t="s">
        <v>52</v>
      </c>
      <c r="G586" t="s">
        <v>44</v>
      </c>
      <c r="H586" t="s">
        <v>44</v>
      </c>
      <c r="I586" t="s">
        <v>44</v>
      </c>
      <c r="J586" t="s">
        <v>45</v>
      </c>
      <c r="K586" s="9">
        <v>9</v>
      </c>
      <c r="L586" s="10">
        <f>IFERROR(VLOOKUP(C586,Parâmetros!$A$5:$D$7,IF(D586="Mensal",2,IF(D586="Trimestral",3,4)),0),0)</f>
        <v>9.99</v>
      </c>
      <c r="M586" s="10">
        <f>IF(G586="Sim",VLOOKUP("EA Play",Parâmetros!$A$11:$B$13,2,0),0)*K586</f>
        <v>0</v>
      </c>
      <c r="N586" s="10">
        <f>IF(H586="Sim",VLOOKUP("Minecraft Pass",Parâmetros!$A$11:$B$13,2,0),0)*K586</f>
        <v>0</v>
      </c>
      <c r="O586" s="10">
        <f>IF(I586="Sim",VLOOKUP("Call of Duty Pass",Parâmetros!$A$11:$B$13,2,0),0)*K586</f>
        <v>0</v>
      </c>
      <c r="P586" s="10">
        <f>(L586*K586+M586+N586+O586)*IF(F586="Promoção",1-Parâmetros!$B$22,1)</f>
        <v>89.91</v>
      </c>
      <c r="Q586" s="10">
        <f>Parâmetros!$B$20*K586</f>
        <v>108</v>
      </c>
      <c r="R586" s="10">
        <f>P586-Q586</f>
        <v>-18.090000000000003</v>
      </c>
    </row>
    <row r="587" spans="1:18">
      <c r="A587">
        <v>586</v>
      </c>
      <c r="B587" s="8">
        <v>45503</v>
      </c>
      <c r="C587" t="s">
        <v>6</v>
      </c>
      <c r="D587" t="s">
        <v>46</v>
      </c>
      <c r="E587" t="s">
        <v>47</v>
      </c>
      <c r="F587" t="s">
        <v>42</v>
      </c>
      <c r="G587" t="s">
        <v>43</v>
      </c>
      <c r="H587" t="s">
        <v>44</v>
      </c>
      <c r="I587" t="s">
        <v>44</v>
      </c>
      <c r="J587" t="s">
        <v>45</v>
      </c>
      <c r="K587" s="9">
        <v>6</v>
      </c>
      <c r="L587" s="10">
        <f>IFERROR(VLOOKUP(C587,Parâmetros!$A$5:$D$7,IF(D587="Mensal",2,IF(D587="Trimestral",3,4)),0),0)</f>
        <v>9.99</v>
      </c>
      <c r="M587" s="10">
        <f>IF(G587="Sim",VLOOKUP("EA Play",Parâmetros!$A$11:$B$13,2,0),0)*K587</f>
        <v>29.94</v>
      </c>
      <c r="N587" s="10">
        <f>IF(H587="Sim",VLOOKUP("Minecraft Pass",Parâmetros!$A$11:$B$13,2,0),0)*K587</f>
        <v>0</v>
      </c>
      <c r="O587" s="10">
        <f>IF(I587="Sim",VLOOKUP("Call of Duty Pass",Parâmetros!$A$11:$B$13,2,0),0)*K587</f>
        <v>0</v>
      </c>
      <c r="P587" s="10">
        <f>(L587*K587+M587+N587+O587)*IF(F587="Promoção",1-Parâmetros!$B$22,1)</f>
        <v>89.88</v>
      </c>
      <c r="Q587" s="10">
        <f>Parâmetros!$B$20*K587</f>
        <v>72</v>
      </c>
      <c r="R587" s="10">
        <f>P587-Q587</f>
        <v>17.879999999999995</v>
      </c>
    </row>
    <row r="588" spans="1:18">
      <c r="A588">
        <v>587</v>
      </c>
      <c r="B588" s="8">
        <v>45934</v>
      </c>
      <c r="C588" t="s">
        <v>8</v>
      </c>
      <c r="D588" t="s">
        <v>46</v>
      </c>
      <c r="E588" t="s">
        <v>41</v>
      </c>
      <c r="F588" t="s">
        <v>48</v>
      </c>
      <c r="G588" t="s">
        <v>43</v>
      </c>
      <c r="H588" t="s">
        <v>44</v>
      </c>
      <c r="I588" t="s">
        <v>44</v>
      </c>
      <c r="J588" t="s">
        <v>45</v>
      </c>
      <c r="K588" s="9">
        <v>35</v>
      </c>
      <c r="L588" s="10">
        <f>IFERROR(VLOOKUP(C588,Parâmetros!$A$5:$D$7,IF(D588="Mensal",2,IF(D588="Trimestral",3,4)),0),0)</f>
        <v>21.99</v>
      </c>
      <c r="M588" s="10">
        <f>IF(G588="Sim",VLOOKUP("EA Play",Parâmetros!$A$11:$B$13,2,0),0)*K588</f>
        <v>174.65</v>
      </c>
      <c r="N588" s="10">
        <f>IF(H588="Sim",VLOOKUP("Minecraft Pass",Parâmetros!$A$11:$B$13,2,0),0)*K588</f>
        <v>0</v>
      </c>
      <c r="O588" s="10">
        <f>IF(I588="Sim",VLOOKUP("Call of Duty Pass",Parâmetros!$A$11:$B$13,2,0),0)*K588</f>
        <v>0</v>
      </c>
      <c r="P588" s="10">
        <f>(L588*K588+M588+N588+O588)*IF(F588="Promoção",1-Parâmetros!$B$22,1)</f>
        <v>944.3</v>
      </c>
      <c r="Q588" s="10">
        <f>Parâmetros!$B$20*K588</f>
        <v>420</v>
      </c>
      <c r="R588" s="10">
        <f>P588-Q588</f>
        <v>524.29999999999995</v>
      </c>
    </row>
    <row r="589" spans="1:18">
      <c r="A589">
        <v>588</v>
      </c>
      <c r="B589" s="8">
        <v>45811</v>
      </c>
      <c r="C589" t="s">
        <v>6</v>
      </c>
      <c r="D589" t="s">
        <v>40</v>
      </c>
      <c r="E589" t="s">
        <v>51</v>
      </c>
      <c r="F589" t="s">
        <v>42</v>
      </c>
      <c r="G589" t="s">
        <v>43</v>
      </c>
      <c r="H589" t="s">
        <v>44</v>
      </c>
      <c r="I589" t="s">
        <v>44</v>
      </c>
      <c r="J589" t="s">
        <v>45</v>
      </c>
      <c r="K589" s="9">
        <v>31</v>
      </c>
      <c r="L589" s="10">
        <f>IFERROR(VLOOKUP(C589,Parâmetros!$A$5:$D$7,IF(D589="Mensal",2,IF(D589="Trimestral",3,4)),0),0)</f>
        <v>27</v>
      </c>
      <c r="M589" s="10">
        <f>IF(G589="Sim",VLOOKUP("EA Play",Parâmetros!$A$11:$B$13,2,0),0)*K589</f>
        <v>154.69</v>
      </c>
      <c r="N589" s="10">
        <f>IF(H589="Sim",VLOOKUP("Minecraft Pass",Parâmetros!$A$11:$B$13,2,0),0)*K589</f>
        <v>0</v>
      </c>
      <c r="O589" s="10">
        <f>IF(I589="Sim",VLOOKUP("Call of Duty Pass",Parâmetros!$A$11:$B$13,2,0),0)*K589</f>
        <v>0</v>
      </c>
      <c r="P589" s="10">
        <f>(L589*K589+M589+N589+O589)*IF(F589="Promoção",1-Parâmetros!$B$22,1)</f>
        <v>991.69</v>
      </c>
      <c r="Q589" s="10">
        <f>Parâmetros!$B$20*K589</f>
        <v>372</v>
      </c>
      <c r="R589" s="10">
        <f>P589-Q589</f>
        <v>619.69000000000005</v>
      </c>
    </row>
    <row r="590" spans="1:18">
      <c r="A590">
        <v>589</v>
      </c>
      <c r="B590" s="8">
        <v>45801</v>
      </c>
      <c r="C590" t="s">
        <v>6</v>
      </c>
      <c r="D590" t="s">
        <v>40</v>
      </c>
      <c r="E590" t="s">
        <v>41</v>
      </c>
      <c r="F590" t="s">
        <v>52</v>
      </c>
      <c r="G590" t="s">
        <v>43</v>
      </c>
      <c r="H590" t="s">
        <v>44</v>
      </c>
      <c r="I590" t="s">
        <v>44</v>
      </c>
      <c r="J590" t="s">
        <v>45</v>
      </c>
      <c r="K590" s="9">
        <v>30</v>
      </c>
      <c r="L590" s="10">
        <f>IFERROR(VLOOKUP(C590,Parâmetros!$A$5:$D$7,IF(D590="Mensal",2,IF(D590="Trimestral",3,4)),0),0)</f>
        <v>27</v>
      </c>
      <c r="M590" s="10">
        <f>IF(G590="Sim",VLOOKUP("EA Play",Parâmetros!$A$11:$B$13,2,0),0)*K590</f>
        <v>149.70000000000002</v>
      </c>
      <c r="N590" s="10">
        <f>IF(H590="Sim",VLOOKUP("Minecraft Pass",Parâmetros!$A$11:$B$13,2,0),0)*K590</f>
        <v>0</v>
      </c>
      <c r="O590" s="10">
        <f>IF(I590="Sim",VLOOKUP("Call of Duty Pass",Parâmetros!$A$11:$B$13,2,0),0)*K590</f>
        <v>0</v>
      </c>
      <c r="P590" s="10">
        <f>(L590*K590+M590+N590+O590)*IF(F590="Promoção",1-Parâmetros!$B$22,1)</f>
        <v>959.7</v>
      </c>
      <c r="Q590" s="10">
        <f>Parâmetros!$B$20*K590</f>
        <v>360</v>
      </c>
      <c r="R590" s="10">
        <f>P590-Q590</f>
        <v>599.70000000000005</v>
      </c>
    </row>
    <row r="591" spans="1:18">
      <c r="A591">
        <v>590</v>
      </c>
      <c r="B591" s="8">
        <v>45336</v>
      </c>
      <c r="C591" t="s">
        <v>6</v>
      </c>
      <c r="D591" t="s">
        <v>46</v>
      </c>
      <c r="E591" t="s">
        <v>47</v>
      </c>
      <c r="F591" t="s">
        <v>42</v>
      </c>
      <c r="G591" t="s">
        <v>43</v>
      </c>
      <c r="H591" t="s">
        <v>44</v>
      </c>
      <c r="I591" t="s">
        <v>43</v>
      </c>
      <c r="J591" t="s">
        <v>49</v>
      </c>
      <c r="K591" s="9">
        <v>29</v>
      </c>
      <c r="L591" s="10">
        <f>IFERROR(VLOOKUP(C591,Parâmetros!$A$5:$D$7,IF(D591="Mensal",2,IF(D591="Trimestral",3,4)),0),0)</f>
        <v>9.99</v>
      </c>
      <c r="M591" s="10">
        <f>IF(G591="Sim",VLOOKUP("EA Play",Parâmetros!$A$11:$B$13,2,0),0)*K591</f>
        <v>144.71</v>
      </c>
      <c r="N591" s="10">
        <f>IF(H591="Sim",VLOOKUP("Minecraft Pass",Parâmetros!$A$11:$B$13,2,0),0)*K591</f>
        <v>0</v>
      </c>
      <c r="O591" s="10">
        <f>IF(I591="Sim",VLOOKUP("Call of Duty Pass",Parâmetros!$A$11:$B$13,2,0),0)*K591</f>
        <v>202.71</v>
      </c>
      <c r="P591" s="10">
        <f>(L591*K591+M591+N591+O591)*IF(F591="Promoção",1-Parâmetros!$B$22,1)</f>
        <v>637.13</v>
      </c>
      <c r="Q591" s="10">
        <f>Parâmetros!$B$20*K591</f>
        <v>348</v>
      </c>
      <c r="R591" s="10">
        <f>P591-Q591</f>
        <v>289.13</v>
      </c>
    </row>
    <row r="592" spans="1:18">
      <c r="A592">
        <v>591</v>
      </c>
      <c r="B592" s="8">
        <v>45898</v>
      </c>
      <c r="C592" t="s">
        <v>7</v>
      </c>
      <c r="D592" t="s">
        <v>46</v>
      </c>
      <c r="E592" t="s">
        <v>51</v>
      </c>
      <c r="F592" t="s">
        <v>54</v>
      </c>
      <c r="G592" t="s">
        <v>43</v>
      </c>
      <c r="H592" t="s">
        <v>43</v>
      </c>
      <c r="I592" t="s">
        <v>43</v>
      </c>
      <c r="J592" t="s">
        <v>49</v>
      </c>
      <c r="K592" s="9">
        <v>27</v>
      </c>
      <c r="L592" s="10">
        <f>IFERROR(VLOOKUP(C592,Parâmetros!$A$5:$D$7,IF(D592="Mensal",2,IF(D592="Trimestral",3,4)),0),0)</f>
        <v>14.99</v>
      </c>
      <c r="M592" s="10">
        <f>IF(G592="Sim",VLOOKUP("EA Play",Parâmetros!$A$11:$B$13,2,0),0)*K592</f>
        <v>134.73000000000002</v>
      </c>
      <c r="N592" s="10">
        <f>IF(H592="Sim",VLOOKUP("Minecraft Pass",Parâmetros!$A$11:$B$13,2,0),0)*K592</f>
        <v>107.73</v>
      </c>
      <c r="O592" s="10">
        <f>IF(I592="Sim",VLOOKUP("Call of Duty Pass",Parâmetros!$A$11:$B$13,2,0),0)*K592</f>
        <v>188.73000000000002</v>
      </c>
      <c r="P592" s="10">
        <f>(L592*K592+M592+N592+O592)*IF(F592="Promoção",1-Parâmetros!$B$22,1)</f>
        <v>752.32800000000009</v>
      </c>
      <c r="Q592" s="10">
        <f>Parâmetros!$B$20*K592</f>
        <v>324</v>
      </c>
      <c r="R592" s="10">
        <f>P592-Q592</f>
        <v>428.32800000000009</v>
      </c>
    </row>
    <row r="593" spans="1:18">
      <c r="A593">
        <v>592</v>
      </c>
      <c r="B593" s="8">
        <v>45496</v>
      </c>
      <c r="C593" t="s">
        <v>6</v>
      </c>
      <c r="D593" t="s">
        <v>46</v>
      </c>
      <c r="E593" t="s">
        <v>47</v>
      </c>
      <c r="F593" t="s">
        <v>48</v>
      </c>
      <c r="G593" t="s">
        <v>44</v>
      </c>
      <c r="H593" t="s">
        <v>43</v>
      </c>
      <c r="I593" t="s">
        <v>44</v>
      </c>
      <c r="J593" t="s">
        <v>49</v>
      </c>
      <c r="K593" s="9">
        <v>25</v>
      </c>
      <c r="L593" s="10">
        <f>IFERROR(VLOOKUP(C593,Parâmetros!$A$5:$D$7,IF(D593="Mensal",2,IF(D593="Trimestral",3,4)),0),0)</f>
        <v>9.99</v>
      </c>
      <c r="M593" s="10">
        <f>IF(G593="Sim",VLOOKUP("EA Play",Parâmetros!$A$11:$B$13,2,0),0)*K593</f>
        <v>0</v>
      </c>
      <c r="N593" s="10">
        <f>IF(H593="Sim",VLOOKUP("Minecraft Pass",Parâmetros!$A$11:$B$13,2,0),0)*K593</f>
        <v>99.75</v>
      </c>
      <c r="O593" s="10">
        <f>IF(I593="Sim",VLOOKUP("Call of Duty Pass",Parâmetros!$A$11:$B$13,2,0),0)*K593</f>
        <v>0</v>
      </c>
      <c r="P593" s="10">
        <f>(L593*K593+M593+N593+O593)*IF(F593="Promoção",1-Parâmetros!$B$22,1)</f>
        <v>349.5</v>
      </c>
      <c r="Q593" s="10">
        <f>Parâmetros!$B$20*K593</f>
        <v>300</v>
      </c>
      <c r="R593" s="10">
        <f>P593-Q593</f>
        <v>49.5</v>
      </c>
    </row>
    <row r="594" spans="1:18">
      <c r="A594">
        <v>593</v>
      </c>
      <c r="B594" s="8">
        <v>45674</v>
      </c>
      <c r="C594" t="s">
        <v>6</v>
      </c>
      <c r="D594" t="s">
        <v>40</v>
      </c>
      <c r="E594" t="s">
        <v>47</v>
      </c>
      <c r="F594" t="s">
        <v>54</v>
      </c>
      <c r="G594" t="s">
        <v>43</v>
      </c>
      <c r="H594" t="s">
        <v>43</v>
      </c>
      <c r="I594" t="s">
        <v>44</v>
      </c>
      <c r="J594" t="s">
        <v>49</v>
      </c>
      <c r="K594" s="9">
        <v>9</v>
      </c>
      <c r="L594" s="10">
        <f>IFERROR(VLOOKUP(C594,Parâmetros!$A$5:$D$7,IF(D594="Mensal",2,IF(D594="Trimestral",3,4)),0),0)</f>
        <v>27</v>
      </c>
      <c r="M594" s="10">
        <f>IF(G594="Sim",VLOOKUP("EA Play",Parâmetros!$A$11:$B$13,2,0),0)*K594</f>
        <v>44.910000000000004</v>
      </c>
      <c r="N594" s="10">
        <f>IF(H594="Sim",VLOOKUP("Minecraft Pass",Parâmetros!$A$11:$B$13,2,0),0)*K594</f>
        <v>35.910000000000004</v>
      </c>
      <c r="O594" s="10">
        <f>IF(I594="Sim",VLOOKUP("Call of Duty Pass",Parâmetros!$A$11:$B$13,2,0),0)*K594</f>
        <v>0</v>
      </c>
      <c r="P594" s="10">
        <f>(L594*K594+M594+N594+O594)*IF(F594="Promoção",1-Parâmetros!$B$22,1)</f>
        <v>291.43800000000005</v>
      </c>
      <c r="Q594" s="10">
        <f>Parâmetros!$B$20*K594</f>
        <v>108</v>
      </c>
      <c r="R594" s="10">
        <f>P594-Q594</f>
        <v>183.43800000000005</v>
      </c>
    </row>
    <row r="595" spans="1:18">
      <c r="A595">
        <v>594</v>
      </c>
      <c r="B595" s="8">
        <v>45405</v>
      </c>
      <c r="C595" t="s">
        <v>8</v>
      </c>
      <c r="D595" t="s">
        <v>46</v>
      </c>
      <c r="E595" t="s">
        <v>41</v>
      </c>
      <c r="F595" t="s">
        <v>42</v>
      </c>
      <c r="G595" t="s">
        <v>44</v>
      </c>
      <c r="H595" t="s">
        <v>44</v>
      </c>
      <c r="I595" t="s">
        <v>44</v>
      </c>
      <c r="J595" t="s">
        <v>45</v>
      </c>
      <c r="K595" s="9">
        <v>11</v>
      </c>
      <c r="L595" s="10">
        <f>IFERROR(VLOOKUP(C595,Parâmetros!$A$5:$D$7,IF(D595="Mensal",2,IF(D595="Trimestral",3,4)),0),0)</f>
        <v>21.99</v>
      </c>
      <c r="M595" s="10">
        <f>IF(G595="Sim",VLOOKUP("EA Play",Parâmetros!$A$11:$B$13,2,0),0)*K595</f>
        <v>0</v>
      </c>
      <c r="N595" s="10">
        <f>IF(H595="Sim",VLOOKUP("Minecraft Pass",Parâmetros!$A$11:$B$13,2,0),0)*K595</f>
        <v>0</v>
      </c>
      <c r="O595" s="10">
        <f>IF(I595="Sim",VLOOKUP("Call of Duty Pass",Parâmetros!$A$11:$B$13,2,0),0)*K595</f>
        <v>0</v>
      </c>
      <c r="P595" s="10">
        <f>(L595*K595+M595+N595+O595)*IF(F595="Promoção",1-Parâmetros!$B$22,1)</f>
        <v>241.89</v>
      </c>
      <c r="Q595" s="10">
        <f>Parâmetros!$B$20*K595</f>
        <v>132</v>
      </c>
      <c r="R595" s="10">
        <f>P595-Q595</f>
        <v>109.88999999999999</v>
      </c>
    </row>
    <row r="596" spans="1:18">
      <c r="A596">
        <v>595</v>
      </c>
      <c r="B596" s="8">
        <v>45883</v>
      </c>
      <c r="C596" t="s">
        <v>8</v>
      </c>
      <c r="D596" t="s">
        <v>50</v>
      </c>
      <c r="E596" t="s">
        <v>41</v>
      </c>
      <c r="F596" t="s">
        <v>54</v>
      </c>
      <c r="G596" t="s">
        <v>44</v>
      </c>
      <c r="H596" t="s">
        <v>44</v>
      </c>
      <c r="I596" t="s">
        <v>44</v>
      </c>
      <c r="J596" t="s">
        <v>45</v>
      </c>
      <c r="K596" s="9">
        <v>18</v>
      </c>
      <c r="L596" s="10">
        <f>IFERROR(VLOOKUP(C596,Parâmetros!$A$5:$D$7,IF(D596="Mensal",2,IF(D596="Trimestral",3,4)),0),0)</f>
        <v>219</v>
      </c>
      <c r="M596" s="10">
        <f>IF(G596="Sim",VLOOKUP("EA Play",Parâmetros!$A$11:$B$13,2,0),0)*K596</f>
        <v>0</v>
      </c>
      <c r="N596" s="10">
        <f>IF(H596="Sim",VLOOKUP("Minecraft Pass",Parâmetros!$A$11:$B$13,2,0),0)*K596</f>
        <v>0</v>
      </c>
      <c r="O596" s="10">
        <f>IF(I596="Sim",VLOOKUP("Call of Duty Pass",Parâmetros!$A$11:$B$13,2,0),0)*K596</f>
        <v>0</v>
      </c>
      <c r="P596" s="10">
        <f>(L596*K596+M596+N596+O596)*IF(F596="Promoção",1-Parâmetros!$B$22,1)</f>
        <v>3547.8</v>
      </c>
      <c r="Q596" s="10">
        <f>Parâmetros!$B$20*K596</f>
        <v>216</v>
      </c>
      <c r="R596" s="10">
        <f>P596-Q596</f>
        <v>3331.8</v>
      </c>
    </row>
    <row r="597" spans="1:18">
      <c r="A597">
        <v>596</v>
      </c>
      <c r="B597" s="8">
        <v>45306</v>
      </c>
      <c r="C597" t="s">
        <v>7</v>
      </c>
      <c r="D597" t="s">
        <v>40</v>
      </c>
      <c r="E597" t="s">
        <v>41</v>
      </c>
      <c r="F597" t="s">
        <v>42</v>
      </c>
      <c r="G597" t="s">
        <v>44</v>
      </c>
      <c r="H597" t="s">
        <v>44</v>
      </c>
      <c r="I597" t="s">
        <v>44</v>
      </c>
      <c r="J597" t="s">
        <v>49</v>
      </c>
      <c r="K597" s="9">
        <v>1</v>
      </c>
      <c r="L597" s="10">
        <f>IFERROR(VLOOKUP(C597,Parâmetros!$A$5:$D$7,IF(D597="Mensal",2,IF(D597="Trimestral",3,4)),0),0)</f>
        <v>40</v>
      </c>
      <c r="M597" s="10">
        <f>IF(G597="Sim",VLOOKUP("EA Play",Parâmetros!$A$11:$B$13,2,0),0)*K597</f>
        <v>0</v>
      </c>
      <c r="N597" s="10">
        <f>IF(H597="Sim",VLOOKUP("Minecraft Pass",Parâmetros!$A$11:$B$13,2,0),0)*K597</f>
        <v>0</v>
      </c>
      <c r="O597" s="10">
        <f>IF(I597="Sim",VLOOKUP("Call of Duty Pass",Parâmetros!$A$11:$B$13,2,0),0)*K597</f>
        <v>0</v>
      </c>
      <c r="P597" s="10">
        <f>(L597*K597+M597+N597+O597)*IF(F597="Promoção",1-Parâmetros!$B$22,1)</f>
        <v>40</v>
      </c>
      <c r="Q597" s="10">
        <f>Parâmetros!$B$20*K597</f>
        <v>12</v>
      </c>
      <c r="R597" s="10">
        <f>P597-Q597</f>
        <v>28</v>
      </c>
    </row>
    <row r="598" spans="1:18">
      <c r="A598">
        <v>597</v>
      </c>
      <c r="B598" s="8">
        <v>45719</v>
      </c>
      <c r="C598" t="s">
        <v>8</v>
      </c>
      <c r="D598" t="s">
        <v>46</v>
      </c>
      <c r="E598" t="s">
        <v>47</v>
      </c>
      <c r="F598" t="s">
        <v>52</v>
      </c>
      <c r="G598" t="s">
        <v>43</v>
      </c>
      <c r="H598" t="s">
        <v>44</v>
      </c>
      <c r="I598" t="s">
        <v>44</v>
      </c>
      <c r="J598" t="s">
        <v>45</v>
      </c>
      <c r="K598" s="9">
        <v>7</v>
      </c>
      <c r="L598" s="10">
        <f>IFERROR(VLOOKUP(C598,Parâmetros!$A$5:$D$7,IF(D598="Mensal",2,IF(D598="Trimestral",3,4)),0),0)</f>
        <v>21.99</v>
      </c>
      <c r="M598" s="10">
        <f>IF(G598="Sim",VLOOKUP("EA Play",Parâmetros!$A$11:$B$13,2,0),0)*K598</f>
        <v>34.93</v>
      </c>
      <c r="N598" s="10">
        <f>IF(H598="Sim",VLOOKUP("Minecraft Pass",Parâmetros!$A$11:$B$13,2,0),0)*K598</f>
        <v>0</v>
      </c>
      <c r="O598" s="10">
        <f>IF(I598="Sim",VLOOKUP("Call of Duty Pass",Parâmetros!$A$11:$B$13,2,0),0)*K598</f>
        <v>0</v>
      </c>
      <c r="P598" s="10">
        <f>(L598*K598+M598+N598+O598)*IF(F598="Promoção",1-Parâmetros!$B$22,1)</f>
        <v>188.85999999999999</v>
      </c>
      <c r="Q598" s="10">
        <f>Parâmetros!$B$20*K598</f>
        <v>84</v>
      </c>
      <c r="R598" s="10">
        <f>P598-Q598</f>
        <v>104.85999999999999</v>
      </c>
    </row>
    <row r="599" spans="1:18">
      <c r="A599">
        <v>598</v>
      </c>
      <c r="B599" s="8">
        <v>45755</v>
      </c>
      <c r="C599" t="s">
        <v>7</v>
      </c>
      <c r="D599" t="s">
        <v>46</v>
      </c>
      <c r="E599" t="s">
        <v>51</v>
      </c>
      <c r="F599" t="s">
        <v>52</v>
      </c>
      <c r="G599" t="s">
        <v>43</v>
      </c>
      <c r="H599" t="s">
        <v>43</v>
      </c>
      <c r="I599" t="s">
        <v>44</v>
      </c>
      <c r="J599" t="s">
        <v>49</v>
      </c>
      <c r="K599" s="9">
        <v>6</v>
      </c>
      <c r="L599" s="10">
        <f>IFERROR(VLOOKUP(C599,Parâmetros!$A$5:$D$7,IF(D599="Mensal",2,IF(D599="Trimestral",3,4)),0),0)</f>
        <v>14.99</v>
      </c>
      <c r="M599" s="10">
        <f>IF(G599="Sim",VLOOKUP("EA Play",Parâmetros!$A$11:$B$13,2,0),0)*K599</f>
        <v>29.94</v>
      </c>
      <c r="N599" s="10">
        <f>IF(H599="Sim",VLOOKUP("Minecraft Pass",Parâmetros!$A$11:$B$13,2,0),0)*K599</f>
        <v>23.94</v>
      </c>
      <c r="O599" s="10">
        <f>IF(I599="Sim",VLOOKUP("Call of Duty Pass",Parâmetros!$A$11:$B$13,2,0),0)*K599</f>
        <v>0</v>
      </c>
      <c r="P599" s="10">
        <f>(L599*K599+M599+N599+O599)*IF(F599="Promoção",1-Parâmetros!$B$22,1)</f>
        <v>143.82</v>
      </c>
      <c r="Q599" s="10">
        <f>Parâmetros!$B$20*K599</f>
        <v>72</v>
      </c>
      <c r="R599" s="10">
        <f>P599-Q599</f>
        <v>71.819999999999993</v>
      </c>
    </row>
    <row r="600" spans="1:18">
      <c r="A600">
        <v>599</v>
      </c>
      <c r="B600" s="8">
        <v>45308</v>
      </c>
      <c r="C600" t="s">
        <v>7</v>
      </c>
      <c r="D600" t="s">
        <v>46</v>
      </c>
      <c r="E600" t="s">
        <v>51</v>
      </c>
      <c r="F600" t="s">
        <v>54</v>
      </c>
      <c r="G600" t="s">
        <v>44</v>
      </c>
      <c r="H600" t="s">
        <v>43</v>
      </c>
      <c r="I600" t="s">
        <v>44</v>
      </c>
      <c r="J600" t="s">
        <v>45</v>
      </c>
      <c r="K600" s="9">
        <v>26</v>
      </c>
      <c r="L600" s="10">
        <f>IFERROR(VLOOKUP(C600,Parâmetros!$A$5:$D$7,IF(D600="Mensal",2,IF(D600="Trimestral",3,4)),0),0)</f>
        <v>14.99</v>
      </c>
      <c r="M600" s="10">
        <f>IF(G600="Sim",VLOOKUP("EA Play",Parâmetros!$A$11:$B$13,2,0),0)*K600</f>
        <v>0</v>
      </c>
      <c r="N600" s="10">
        <f>IF(H600="Sim",VLOOKUP("Minecraft Pass",Parâmetros!$A$11:$B$13,2,0),0)*K600</f>
        <v>103.74000000000001</v>
      </c>
      <c r="O600" s="10">
        <f>IF(I600="Sim",VLOOKUP("Call of Duty Pass",Parâmetros!$A$11:$B$13,2,0),0)*K600</f>
        <v>0</v>
      </c>
      <c r="P600" s="10">
        <f>(L600*K600+M600+N600+O600)*IF(F600="Promoção",1-Parâmetros!$B$22,1)</f>
        <v>444.13200000000001</v>
      </c>
      <c r="Q600" s="10">
        <f>Parâmetros!$B$20*K600</f>
        <v>312</v>
      </c>
      <c r="R600" s="10">
        <f>P600-Q600</f>
        <v>132.13200000000001</v>
      </c>
    </row>
    <row r="601" spans="1:18">
      <c r="A601">
        <v>600</v>
      </c>
      <c r="B601" s="8">
        <v>45481</v>
      </c>
      <c r="C601" t="s">
        <v>8</v>
      </c>
      <c r="D601" t="s">
        <v>46</v>
      </c>
      <c r="E601" t="s">
        <v>47</v>
      </c>
      <c r="F601" t="s">
        <v>52</v>
      </c>
      <c r="G601" t="s">
        <v>44</v>
      </c>
      <c r="H601" t="s">
        <v>43</v>
      </c>
      <c r="I601" t="s">
        <v>44</v>
      </c>
      <c r="J601" t="s">
        <v>49</v>
      </c>
      <c r="K601" s="9">
        <v>3</v>
      </c>
      <c r="L601" s="10">
        <f>IFERROR(VLOOKUP(C601,Parâmetros!$A$5:$D$7,IF(D601="Mensal",2,IF(D601="Trimestral",3,4)),0),0)</f>
        <v>21.99</v>
      </c>
      <c r="M601" s="10">
        <f>IF(G601="Sim",VLOOKUP("EA Play",Parâmetros!$A$11:$B$13,2,0),0)*K601</f>
        <v>0</v>
      </c>
      <c r="N601" s="10">
        <f>IF(H601="Sim",VLOOKUP("Minecraft Pass",Parâmetros!$A$11:$B$13,2,0),0)*K601</f>
        <v>11.97</v>
      </c>
      <c r="O601" s="10">
        <f>IF(I601="Sim",VLOOKUP("Call of Duty Pass",Parâmetros!$A$11:$B$13,2,0),0)*K601</f>
        <v>0</v>
      </c>
      <c r="P601" s="10">
        <f>(L601*K601+M601+N601+O601)*IF(F601="Promoção",1-Parâmetros!$B$22,1)</f>
        <v>77.94</v>
      </c>
      <c r="Q601" s="10">
        <f>Parâmetros!$B$20*K601</f>
        <v>36</v>
      </c>
      <c r="R601" s="10">
        <f>P601-Q601</f>
        <v>41.94</v>
      </c>
    </row>
    <row r="602" spans="1:18">
      <c r="A602">
        <v>601</v>
      </c>
      <c r="B602" s="8">
        <v>45595</v>
      </c>
      <c r="C602" t="s">
        <v>7</v>
      </c>
      <c r="D602" t="s">
        <v>46</v>
      </c>
      <c r="E602" t="s">
        <v>53</v>
      </c>
      <c r="F602" t="s">
        <v>48</v>
      </c>
      <c r="G602" t="s">
        <v>44</v>
      </c>
      <c r="H602" t="s">
        <v>44</v>
      </c>
      <c r="I602" t="s">
        <v>43</v>
      </c>
      <c r="J602" t="s">
        <v>45</v>
      </c>
      <c r="K602" s="9">
        <v>4</v>
      </c>
      <c r="L602" s="10">
        <f>IFERROR(VLOOKUP(C602,Parâmetros!$A$5:$D$7,IF(D602="Mensal",2,IF(D602="Trimestral",3,4)),0),0)</f>
        <v>14.99</v>
      </c>
      <c r="M602" s="10">
        <f>IF(G602="Sim",VLOOKUP("EA Play",Parâmetros!$A$11:$B$13,2,0),0)*K602</f>
        <v>0</v>
      </c>
      <c r="N602" s="10">
        <f>IF(H602="Sim",VLOOKUP("Minecraft Pass",Parâmetros!$A$11:$B$13,2,0),0)*K602</f>
        <v>0</v>
      </c>
      <c r="O602" s="10">
        <f>IF(I602="Sim",VLOOKUP("Call of Duty Pass",Parâmetros!$A$11:$B$13,2,0),0)*K602</f>
        <v>27.96</v>
      </c>
      <c r="P602" s="10">
        <f>(L602*K602+M602+N602+O602)*IF(F602="Promoção",1-Parâmetros!$B$22,1)</f>
        <v>87.92</v>
      </c>
      <c r="Q602" s="10">
        <f>Parâmetros!$B$20*K602</f>
        <v>48</v>
      </c>
      <c r="R602" s="10">
        <f>P602-Q602</f>
        <v>39.92</v>
      </c>
    </row>
    <row r="603" spans="1:18">
      <c r="A603">
        <v>602</v>
      </c>
      <c r="B603" s="8">
        <v>45819</v>
      </c>
      <c r="C603" t="s">
        <v>8</v>
      </c>
      <c r="D603" t="s">
        <v>40</v>
      </c>
      <c r="E603" t="s">
        <v>55</v>
      </c>
      <c r="F603" t="s">
        <v>42</v>
      </c>
      <c r="G603" t="s">
        <v>43</v>
      </c>
      <c r="H603" t="s">
        <v>44</v>
      </c>
      <c r="I603" t="s">
        <v>44</v>
      </c>
      <c r="J603" t="s">
        <v>49</v>
      </c>
      <c r="K603" s="9">
        <v>5</v>
      </c>
      <c r="L603" s="10">
        <f>IFERROR(VLOOKUP(C603,Parâmetros!$A$5:$D$7,IF(D603="Mensal",2,IF(D603="Trimestral",3,4)),0),0)</f>
        <v>59</v>
      </c>
      <c r="M603" s="10">
        <f>IF(G603="Sim",VLOOKUP("EA Play",Parâmetros!$A$11:$B$13,2,0),0)*K603</f>
        <v>24.950000000000003</v>
      </c>
      <c r="N603" s="10">
        <f>IF(H603="Sim",VLOOKUP("Minecraft Pass",Parâmetros!$A$11:$B$13,2,0),0)*K603</f>
        <v>0</v>
      </c>
      <c r="O603" s="10">
        <f>IF(I603="Sim",VLOOKUP("Call of Duty Pass",Parâmetros!$A$11:$B$13,2,0),0)*K603</f>
        <v>0</v>
      </c>
      <c r="P603" s="10">
        <f>(L603*K603+M603+N603+O603)*IF(F603="Promoção",1-Parâmetros!$B$22,1)</f>
        <v>319.95</v>
      </c>
      <c r="Q603" s="10">
        <f>Parâmetros!$B$20*K603</f>
        <v>60</v>
      </c>
      <c r="R603" s="10">
        <f>P603-Q603</f>
        <v>259.95</v>
      </c>
    </row>
    <row r="604" spans="1:18">
      <c r="A604">
        <v>603</v>
      </c>
      <c r="B604" s="8">
        <v>45866</v>
      </c>
      <c r="C604" t="s">
        <v>7</v>
      </c>
      <c r="D604" t="s">
        <v>46</v>
      </c>
      <c r="E604" t="s">
        <v>53</v>
      </c>
      <c r="F604" t="s">
        <v>42</v>
      </c>
      <c r="G604" t="s">
        <v>43</v>
      </c>
      <c r="H604" t="s">
        <v>44</v>
      </c>
      <c r="I604" t="s">
        <v>44</v>
      </c>
      <c r="J604" t="s">
        <v>45</v>
      </c>
      <c r="K604" s="9">
        <v>14</v>
      </c>
      <c r="L604" s="10">
        <f>IFERROR(VLOOKUP(C604,Parâmetros!$A$5:$D$7,IF(D604="Mensal",2,IF(D604="Trimestral",3,4)),0),0)</f>
        <v>14.99</v>
      </c>
      <c r="M604" s="10">
        <f>IF(G604="Sim",VLOOKUP("EA Play",Parâmetros!$A$11:$B$13,2,0),0)*K604</f>
        <v>69.86</v>
      </c>
      <c r="N604" s="10">
        <f>IF(H604="Sim",VLOOKUP("Minecraft Pass",Parâmetros!$A$11:$B$13,2,0),0)*K604</f>
        <v>0</v>
      </c>
      <c r="O604" s="10">
        <f>IF(I604="Sim",VLOOKUP("Call of Duty Pass",Parâmetros!$A$11:$B$13,2,0),0)*K604</f>
        <v>0</v>
      </c>
      <c r="P604" s="10">
        <f>(L604*K604+M604+N604+O604)*IF(F604="Promoção",1-Parâmetros!$B$22,1)</f>
        <v>279.72000000000003</v>
      </c>
      <c r="Q604" s="10">
        <f>Parâmetros!$B$20*K604</f>
        <v>168</v>
      </c>
      <c r="R604" s="10">
        <f>P604-Q604</f>
        <v>111.72000000000003</v>
      </c>
    </row>
    <row r="605" spans="1:18">
      <c r="A605">
        <v>604</v>
      </c>
      <c r="B605" s="8">
        <v>45522</v>
      </c>
      <c r="C605" t="s">
        <v>6</v>
      </c>
      <c r="D605" t="s">
        <v>50</v>
      </c>
      <c r="E605" t="s">
        <v>47</v>
      </c>
      <c r="F605" t="s">
        <v>48</v>
      </c>
      <c r="G605" t="s">
        <v>43</v>
      </c>
      <c r="H605" t="s">
        <v>43</v>
      </c>
      <c r="I605" t="s">
        <v>44</v>
      </c>
      <c r="J605" t="s">
        <v>49</v>
      </c>
      <c r="K605" s="9">
        <v>8</v>
      </c>
      <c r="L605" s="10">
        <f>IFERROR(VLOOKUP(C605,Parâmetros!$A$5:$D$7,IF(D605="Mensal",2,IF(D605="Trimestral",3,4)),0),0)</f>
        <v>99</v>
      </c>
      <c r="M605" s="10">
        <f>IF(G605="Sim",VLOOKUP("EA Play",Parâmetros!$A$11:$B$13,2,0),0)*K605</f>
        <v>39.92</v>
      </c>
      <c r="N605" s="10">
        <f>IF(H605="Sim",VLOOKUP("Minecraft Pass",Parâmetros!$A$11:$B$13,2,0),0)*K605</f>
        <v>31.92</v>
      </c>
      <c r="O605" s="10">
        <f>IF(I605="Sim",VLOOKUP("Call of Duty Pass",Parâmetros!$A$11:$B$13,2,0),0)*K605</f>
        <v>0</v>
      </c>
      <c r="P605" s="10">
        <f>(L605*K605+M605+N605+O605)*IF(F605="Promoção",1-Parâmetros!$B$22,1)</f>
        <v>863.83999999999992</v>
      </c>
      <c r="Q605" s="10">
        <f>Parâmetros!$B$20*K605</f>
        <v>96</v>
      </c>
      <c r="R605" s="10">
        <f>P605-Q605</f>
        <v>767.83999999999992</v>
      </c>
    </row>
    <row r="606" spans="1:18">
      <c r="A606">
        <v>605</v>
      </c>
      <c r="B606" s="8">
        <v>45773</v>
      </c>
      <c r="C606" t="s">
        <v>7</v>
      </c>
      <c r="D606" t="s">
        <v>40</v>
      </c>
      <c r="E606" t="s">
        <v>47</v>
      </c>
      <c r="F606" t="s">
        <v>42</v>
      </c>
      <c r="G606" t="s">
        <v>44</v>
      </c>
      <c r="H606" t="s">
        <v>44</v>
      </c>
      <c r="I606" t="s">
        <v>44</v>
      </c>
      <c r="J606" t="s">
        <v>45</v>
      </c>
      <c r="K606" s="9">
        <v>5</v>
      </c>
      <c r="L606" s="10">
        <f>IFERROR(VLOOKUP(C606,Parâmetros!$A$5:$D$7,IF(D606="Mensal",2,IF(D606="Trimestral",3,4)),0),0)</f>
        <v>40</v>
      </c>
      <c r="M606" s="10">
        <f>IF(G606="Sim",VLOOKUP("EA Play",Parâmetros!$A$11:$B$13,2,0),0)*K606</f>
        <v>0</v>
      </c>
      <c r="N606" s="10">
        <f>IF(H606="Sim",VLOOKUP("Minecraft Pass",Parâmetros!$A$11:$B$13,2,0),0)*K606</f>
        <v>0</v>
      </c>
      <c r="O606" s="10">
        <f>IF(I606="Sim",VLOOKUP("Call of Duty Pass",Parâmetros!$A$11:$B$13,2,0),0)*K606</f>
        <v>0</v>
      </c>
      <c r="P606" s="10">
        <f>(L606*K606+M606+N606+O606)*IF(F606="Promoção",1-Parâmetros!$B$22,1)</f>
        <v>200</v>
      </c>
      <c r="Q606" s="10">
        <f>Parâmetros!$B$20*K606</f>
        <v>60</v>
      </c>
      <c r="R606" s="10">
        <f>P606-Q606</f>
        <v>140</v>
      </c>
    </row>
    <row r="607" spans="1:18">
      <c r="A607">
        <v>606</v>
      </c>
      <c r="B607" s="8">
        <v>45484</v>
      </c>
      <c r="C607" t="s">
        <v>8</v>
      </c>
      <c r="D607" t="s">
        <v>46</v>
      </c>
      <c r="E607" t="s">
        <v>41</v>
      </c>
      <c r="F607" t="s">
        <v>54</v>
      </c>
      <c r="G607" t="s">
        <v>43</v>
      </c>
      <c r="H607" t="s">
        <v>44</v>
      </c>
      <c r="I607" t="s">
        <v>43</v>
      </c>
      <c r="J607" t="s">
        <v>49</v>
      </c>
      <c r="K607" s="9">
        <v>10</v>
      </c>
      <c r="L607" s="10">
        <f>IFERROR(VLOOKUP(C607,Parâmetros!$A$5:$D$7,IF(D607="Mensal",2,IF(D607="Trimestral",3,4)),0),0)</f>
        <v>21.99</v>
      </c>
      <c r="M607" s="10">
        <f>IF(G607="Sim",VLOOKUP("EA Play",Parâmetros!$A$11:$B$13,2,0),0)*K607</f>
        <v>49.900000000000006</v>
      </c>
      <c r="N607" s="10">
        <f>IF(H607="Sim",VLOOKUP("Minecraft Pass",Parâmetros!$A$11:$B$13,2,0),0)*K607</f>
        <v>0</v>
      </c>
      <c r="O607" s="10">
        <f>IF(I607="Sim",VLOOKUP("Call of Duty Pass",Parâmetros!$A$11:$B$13,2,0),0)*K607</f>
        <v>69.900000000000006</v>
      </c>
      <c r="P607" s="10">
        <f>(L607*K607+M607+N607+O607)*IF(F607="Promoção",1-Parâmetros!$B$22,1)</f>
        <v>305.72999999999996</v>
      </c>
      <c r="Q607" s="10">
        <f>Parâmetros!$B$20*K607</f>
        <v>120</v>
      </c>
      <c r="R607" s="10">
        <f>P607-Q607</f>
        <v>185.72999999999996</v>
      </c>
    </row>
    <row r="608" spans="1:18">
      <c r="A608">
        <v>607</v>
      </c>
      <c r="B608" s="8">
        <v>45800</v>
      </c>
      <c r="C608" t="s">
        <v>6</v>
      </c>
      <c r="D608" t="s">
        <v>46</v>
      </c>
      <c r="E608" t="s">
        <v>53</v>
      </c>
      <c r="F608" t="s">
        <v>42</v>
      </c>
      <c r="G608" t="s">
        <v>43</v>
      </c>
      <c r="H608" t="s">
        <v>44</v>
      </c>
      <c r="I608" t="s">
        <v>44</v>
      </c>
      <c r="J608" t="s">
        <v>49</v>
      </c>
      <c r="K608" s="9">
        <v>27</v>
      </c>
      <c r="L608" s="10">
        <f>IFERROR(VLOOKUP(C608,Parâmetros!$A$5:$D$7,IF(D608="Mensal",2,IF(D608="Trimestral",3,4)),0),0)</f>
        <v>9.99</v>
      </c>
      <c r="M608" s="10">
        <f>IF(G608="Sim",VLOOKUP("EA Play",Parâmetros!$A$11:$B$13,2,0),0)*K608</f>
        <v>134.73000000000002</v>
      </c>
      <c r="N608" s="10">
        <f>IF(H608="Sim",VLOOKUP("Minecraft Pass",Parâmetros!$A$11:$B$13,2,0),0)*K608</f>
        <v>0</v>
      </c>
      <c r="O608" s="10">
        <f>IF(I608="Sim",VLOOKUP("Call of Duty Pass",Parâmetros!$A$11:$B$13,2,0),0)*K608</f>
        <v>0</v>
      </c>
      <c r="P608" s="10">
        <f>(L608*K608+M608+N608+O608)*IF(F608="Promoção",1-Parâmetros!$B$22,1)</f>
        <v>404.46000000000004</v>
      </c>
      <c r="Q608" s="10">
        <f>Parâmetros!$B$20*K608</f>
        <v>324</v>
      </c>
      <c r="R608" s="10">
        <f>P608-Q608</f>
        <v>80.460000000000036</v>
      </c>
    </row>
    <row r="609" spans="1:18">
      <c r="A609">
        <v>608</v>
      </c>
      <c r="B609" s="8">
        <v>45746</v>
      </c>
      <c r="C609" t="s">
        <v>7</v>
      </c>
      <c r="D609" t="s">
        <v>46</v>
      </c>
      <c r="E609" t="s">
        <v>41</v>
      </c>
      <c r="F609" t="s">
        <v>42</v>
      </c>
      <c r="G609" t="s">
        <v>44</v>
      </c>
      <c r="H609" t="s">
        <v>44</v>
      </c>
      <c r="I609" t="s">
        <v>44</v>
      </c>
      <c r="J609" t="s">
        <v>49</v>
      </c>
      <c r="K609" s="9">
        <v>22</v>
      </c>
      <c r="L609" s="10">
        <f>IFERROR(VLOOKUP(C609,Parâmetros!$A$5:$D$7,IF(D609="Mensal",2,IF(D609="Trimestral",3,4)),0),0)</f>
        <v>14.99</v>
      </c>
      <c r="M609" s="10">
        <f>IF(G609="Sim",VLOOKUP("EA Play",Parâmetros!$A$11:$B$13,2,0),0)*K609</f>
        <v>0</v>
      </c>
      <c r="N609" s="10">
        <f>IF(H609="Sim",VLOOKUP("Minecraft Pass",Parâmetros!$A$11:$B$13,2,0),0)*K609</f>
        <v>0</v>
      </c>
      <c r="O609" s="10">
        <f>IF(I609="Sim",VLOOKUP("Call of Duty Pass",Parâmetros!$A$11:$B$13,2,0),0)*K609</f>
        <v>0</v>
      </c>
      <c r="P609" s="10">
        <f>(L609*K609+M609+N609+O609)*IF(F609="Promoção",1-Parâmetros!$B$22,1)</f>
        <v>329.78000000000003</v>
      </c>
      <c r="Q609" s="10">
        <f>Parâmetros!$B$20*K609</f>
        <v>264</v>
      </c>
      <c r="R609" s="10">
        <f>P609-Q609</f>
        <v>65.78000000000003</v>
      </c>
    </row>
    <row r="610" spans="1:18">
      <c r="A610">
        <v>609</v>
      </c>
      <c r="B610" s="8">
        <v>45963</v>
      </c>
      <c r="C610" t="s">
        <v>7</v>
      </c>
      <c r="D610" t="s">
        <v>46</v>
      </c>
      <c r="E610" t="s">
        <v>47</v>
      </c>
      <c r="F610" t="s">
        <v>52</v>
      </c>
      <c r="G610" t="s">
        <v>44</v>
      </c>
      <c r="H610" t="s">
        <v>44</v>
      </c>
      <c r="I610" t="s">
        <v>44</v>
      </c>
      <c r="J610" t="s">
        <v>49</v>
      </c>
      <c r="K610" s="9">
        <v>20</v>
      </c>
      <c r="L610" s="10">
        <f>IFERROR(VLOOKUP(C610,Parâmetros!$A$5:$D$7,IF(D610="Mensal",2,IF(D610="Trimestral",3,4)),0),0)</f>
        <v>14.99</v>
      </c>
      <c r="M610" s="10">
        <f>IF(G610="Sim",VLOOKUP("EA Play",Parâmetros!$A$11:$B$13,2,0),0)*K610</f>
        <v>0</v>
      </c>
      <c r="N610" s="10">
        <f>IF(H610="Sim",VLOOKUP("Minecraft Pass",Parâmetros!$A$11:$B$13,2,0),0)*K610</f>
        <v>0</v>
      </c>
      <c r="O610" s="10">
        <f>IF(I610="Sim",VLOOKUP("Call of Duty Pass",Parâmetros!$A$11:$B$13,2,0),0)*K610</f>
        <v>0</v>
      </c>
      <c r="P610" s="10">
        <f>(L610*K610+M610+N610+O610)*IF(F610="Promoção",1-Parâmetros!$B$22,1)</f>
        <v>299.8</v>
      </c>
      <c r="Q610" s="10">
        <f>Parâmetros!$B$20*K610</f>
        <v>240</v>
      </c>
      <c r="R610" s="10">
        <f>P610-Q610</f>
        <v>59.800000000000011</v>
      </c>
    </row>
    <row r="611" spans="1:18">
      <c r="A611">
        <v>610</v>
      </c>
      <c r="B611" s="8">
        <v>45467</v>
      </c>
      <c r="C611" t="s">
        <v>8</v>
      </c>
      <c r="D611" t="s">
        <v>46</v>
      </c>
      <c r="E611" t="s">
        <v>41</v>
      </c>
      <c r="F611" t="s">
        <v>42</v>
      </c>
      <c r="G611" t="s">
        <v>44</v>
      </c>
      <c r="H611" t="s">
        <v>43</v>
      </c>
      <c r="I611" t="s">
        <v>43</v>
      </c>
      <c r="J611" t="s">
        <v>45</v>
      </c>
      <c r="K611" s="9">
        <v>11</v>
      </c>
      <c r="L611" s="10">
        <f>IFERROR(VLOOKUP(C611,Parâmetros!$A$5:$D$7,IF(D611="Mensal",2,IF(D611="Trimestral",3,4)),0),0)</f>
        <v>21.99</v>
      </c>
      <c r="M611" s="10">
        <f>IF(G611="Sim",VLOOKUP("EA Play",Parâmetros!$A$11:$B$13,2,0),0)*K611</f>
        <v>0</v>
      </c>
      <c r="N611" s="10">
        <f>IF(H611="Sim",VLOOKUP("Minecraft Pass",Parâmetros!$A$11:$B$13,2,0),0)*K611</f>
        <v>43.89</v>
      </c>
      <c r="O611" s="10">
        <f>IF(I611="Sim",VLOOKUP("Call of Duty Pass",Parâmetros!$A$11:$B$13,2,0),0)*K611</f>
        <v>76.89</v>
      </c>
      <c r="P611" s="10">
        <f>(L611*K611+M611+N611+O611)*IF(F611="Promoção",1-Parâmetros!$B$22,1)</f>
        <v>362.66999999999996</v>
      </c>
      <c r="Q611" s="10">
        <f>Parâmetros!$B$20*K611</f>
        <v>132</v>
      </c>
      <c r="R611" s="10">
        <f>P611-Q611</f>
        <v>230.66999999999996</v>
      </c>
    </row>
    <row r="612" spans="1:18">
      <c r="A612">
        <v>611</v>
      </c>
      <c r="B612" s="8">
        <v>46020</v>
      </c>
      <c r="C612" t="s">
        <v>7</v>
      </c>
      <c r="D612" t="s">
        <v>46</v>
      </c>
      <c r="E612" t="s">
        <v>41</v>
      </c>
      <c r="F612" t="s">
        <v>52</v>
      </c>
      <c r="G612" t="s">
        <v>44</v>
      </c>
      <c r="H612" t="s">
        <v>44</v>
      </c>
      <c r="I612" t="s">
        <v>43</v>
      </c>
      <c r="J612" t="s">
        <v>49</v>
      </c>
      <c r="K612" s="9">
        <v>21</v>
      </c>
      <c r="L612" s="10">
        <f>IFERROR(VLOOKUP(C612,Parâmetros!$A$5:$D$7,IF(D612="Mensal",2,IF(D612="Trimestral",3,4)),0),0)</f>
        <v>14.99</v>
      </c>
      <c r="M612" s="10">
        <f>IF(G612="Sim",VLOOKUP("EA Play",Parâmetros!$A$11:$B$13,2,0),0)*K612</f>
        <v>0</v>
      </c>
      <c r="N612" s="10">
        <f>IF(H612="Sim",VLOOKUP("Minecraft Pass",Parâmetros!$A$11:$B$13,2,0),0)*K612</f>
        <v>0</v>
      </c>
      <c r="O612" s="10">
        <f>IF(I612="Sim",VLOOKUP("Call of Duty Pass",Parâmetros!$A$11:$B$13,2,0),0)*K612</f>
        <v>146.79</v>
      </c>
      <c r="P612" s="10">
        <f>(L612*K612+M612+N612+O612)*IF(F612="Promoção",1-Parâmetros!$B$22,1)</f>
        <v>461.58000000000004</v>
      </c>
      <c r="Q612" s="10">
        <f>Parâmetros!$B$20*K612</f>
        <v>252</v>
      </c>
      <c r="R612" s="10">
        <f>P612-Q612</f>
        <v>209.58000000000004</v>
      </c>
    </row>
    <row r="613" spans="1:18">
      <c r="A613">
        <v>612</v>
      </c>
      <c r="B613" s="8">
        <v>45880</v>
      </c>
      <c r="C613" t="s">
        <v>6</v>
      </c>
      <c r="D613" t="s">
        <v>46</v>
      </c>
      <c r="E613" t="s">
        <v>41</v>
      </c>
      <c r="F613" t="s">
        <v>48</v>
      </c>
      <c r="G613" t="s">
        <v>43</v>
      </c>
      <c r="H613" t="s">
        <v>43</v>
      </c>
      <c r="I613" t="s">
        <v>44</v>
      </c>
      <c r="J613" t="s">
        <v>49</v>
      </c>
      <c r="K613" s="9">
        <v>35</v>
      </c>
      <c r="L613" s="10">
        <f>IFERROR(VLOOKUP(C613,Parâmetros!$A$5:$D$7,IF(D613="Mensal",2,IF(D613="Trimestral",3,4)),0),0)</f>
        <v>9.99</v>
      </c>
      <c r="M613" s="10">
        <f>IF(G613="Sim",VLOOKUP("EA Play",Parâmetros!$A$11:$B$13,2,0),0)*K613</f>
        <v>174.65</v>
      </c>
      <c r="N613" s="10">
        <f>IF(H613="Sim",VLOOKUP("Minecraft Pass",Parâmetros!$A$11:$B$13,2,0),0)*K613</f>
        <v>139.65</v>
      </c>
      <c r="O613" s="10">
        <f>IF(I613="Sim",VLOOKUP("Call of Duty Pass",Parâmetros!$A$11:$B$13,2,0),0)*K613</f>
        <v>0</v>
      </c>
      <c r="P613" s="10">
        <f>(L613*K613+M613+N613+O613)*IF(F613="Promoção",1-Parâmetros!$B$22,1)</f>
        <v>663.95</v>
      </c>
      <c r="Q613" s="10">
        <f>Parâmetros!$B$20*K613</f>
        <v>420</v>
      </c>
      <c r="R613" s="10">
        <f>P613-Q613</f>
        <v>243.95000000000005</v>
      </c>
    </row>
    <row r="614" spans="1:18">
      <c r="A614">
        <v>613</v>
      </c>
      <c r="B614" s="8">
        <v>45458</v>
      </c>
      <c r="C614" t="s">
        <v>7</v>
      </c>
      <c r="D614" t="s">
        <v>46</v>
      </c>
      <c r="E614" t="s">
        <v>41</v>
      </c>
      <c r="F614" t="s">
        <v>54</v>
      </c>
      <c r="G614" t="s">
        <v>44</v>
      </c>
      <c r="H614" t="s">
        <v>44</v>
      </c>
      <c r="I614" t="s">
        <v>44</v>
      </c>
      <c r="J614" t="s">
        <v>49</v>
      </c>
      <c r="K614" s="9">
        <v>35</v>
      </c>
      <c r="L614" s="10">
        <f>IFERROR(VLOOKUP(C614,Parâmetros!$A$5:$D$7,IF(D614="Mensal",2,IF(D614="Trimestral",3,4)),0),0)</f>
        <v>14.99</v>
      </c>
      <c r="M614" s="10">
        <f>IF(G614="Sim",VLOOKUP("EA Play",Parâmetros!$A$11:$B$13,2,0),0)*K614</f>
        <v>0</v>
      </c>
      <c r="N614" s="10">
        <f>IF(H614="Sim",VLOOKUP("Minecraft Pass",Parâmetros!$A$11:$B$13,2,0),0)*K614</f>
        <v>0</v>
      </c>
      <c r="O614" s="10">
        <f>IF(I614="Sim",VLOOKUP("Call of Duty Pass",Parâmetros!$A$11:$B$13,2,0),0)*K614</f>
        <v>0</v>
      </c>
      <c r="P614" s="10">
        <f>(L614*K614+M614+N614+O614)*IF(F614="Promoção",1-Parâmetros!$B$22,1)</f>
        <v>472.185</v>
      </c>
      <c r="Q614" s="10">
        <f>Parâmetros!$B$20*K614</f>
        <v>420</v>
      </c>
      <c r="R614" s="10">
        <f>P614-Q614</f>
        <v>52.185000000000002</v>
      </c>
    </row>
    <row r="615" spans="1:18">
      <c r="A615">
        <v>614</v>
      </c>
      <c r="B615" s="8">
        <v>45811</v>
      </c>
      <c r="C615" t="s">
        <v>6</v>
      </c>
      <c r="D615" t="s">
        <v>40</v>
      </c>
      <c r="E615" t="s">
        <v>47</v>
      </c>
      <c r="F615" t="s">
        <v>42</v>
      </c>
      <c r="G615" t="s">
        <v>44</v>
      </c>
      <c r="H615" t="s">
        <v>44</v>
      </c>
      <c r="I615" t="s">
        <v>44</v>
      </c>
      <c r="J615" t="s">
        <v>49</v>
      </c>
      <c r="K615" s="9">
        <v>29</v>
      </c>
      <c r="L615" s="10">
        <f>IFERROR(VLOOKUP(C615,Parâmetros!$A$5:$D$7,IF(D615="Mensal",2,IF(D615="Trimestral",3,4)),0),0)</f>
        <v>27</v>
      </c>
      <c r="M615" s="10">
        <f>IF(G615="Sim",VLOOKUP("EA Play",Parâmetros!$A$11:$B$13,2,0),0)*K615</f>
        <v>0</v>
      </c>
      <c r="N615" s="10">
        <f>IF(H615="Sim",VLOOKUP("Minecraft Pass",Parâmetros!$A$11:$B$13,2,0),0)*K615</f>
        <v>0</v>
      </c>
      <c r="O615" s="10">
        <f>IF(I615="Sim",VLOOKUP("Call of Duty Pass",Parâmetros!$A$11:$B$13,2,0),0)*K615</f>
        <v>0</v>
      </c>
      <c r="P615" s="10">
        <f>(L615*K615+M615+N615+O615)*IF(F615="Promoção",1-Parâmetros!$B$22,1)</f>
        <v>783</v>
      </c>
      <c r="Q615" s="10">
        <f>Parâmetros!$B$20*K615</f>
        <v>348</v>
      </c>
      <c r="R615" s="10">
        <f>P615-Q615</f>
        <v>435</v>
      </c>
    </row>
    <row r="616" spans="1:18">
      <c r="A616">
        <v>615</v>
      </c>
      <c r="B616" s="8">
        <v>45638</v>
      </c>
      <c r="C616" t="s">
        <v>7</v>
      </c>
      <c r="D616" t="s">
        <v>40</v>
      </c>
      <c r="E616" t="s">
        <v>55</v>
      </c>
      <c r="F616" t="s">
        <v>42</v>
      </c>
      <c r="G616" t="s">
        <v>44</v>
      </c>
      <c r="H616" t="s">
        <v>43</v>
      </c>
      <c r="I616" t="s">
        <v>44</v>
      </c>
      <c r="J616" t="s">
        <v>45</v>
      </c>
      <c r="K616" s="9">
        <v>29</v>
      </c>
      <c r="L616" s="10">
        <f>IFERROR(VLOOKUP(C616,Parâmetros!$A$5:$D$7,IF(D616="Mensal",2,IF(D616="Trimestral",3,4)),0),0)</f>
        <v>40</v>
      </c>
      <c r="M616" s="10">
        <f>IF(G616="Sim",VLOOKUP("EA Play",Parâmetros!$A$11:$B$13,2,0),0)*K616</f>
        <v>0</v>
      </c>
      <c r="N616" s="10">
        <f>IF(H616="Sim",VLOOKUP("Minecraft Pass",Parâmetros!$A$11:$B$13,2,0),0)*K616</f>
        <v>115.71000000000001</v>
      </c>
      <c r="O616" s="10">
        <f>IF(I616="Sim",VLOOKUP("Call of Duty Pass",Parâmetros!$A$11:$B$13,2,0),0)*K616</f>
        <v>0</v>
      </c>
      <c r="P616" s="10">
        <f>(L616*K616+M616+N616+O616)*IF(F616="Promoção",1-Parâmetros!$B$22,1)</f>
        <v>1275.71</v>
      </c>
      <c r="Q616" s="10">
        <f>Parâmetros!$B$20*K616</f>
        <v>348</v>
      </c>
      <c r="R616" s="10">
        <f>P616-Q616</f>
        <v>927.71</v>
      </c>
    </row>
    <row r="617" spans="1:18">
      <c r="A617">
        <v>616</v>
      </c>
      <c r="B617" s="8">
        <v>45657</v>
      </c>
      <c r="C617" t="s">
        <v>6</v>
      </c>
      <c r="D617" t="s">
        <v>46</v>
      </c>
      <c r="E617" t="s">
        <v>51</v>
      </c>
      <c r="F617" t="s">
        <v>48</v>
      </c>
      <c r="G617" t="s">
        <v>43</v>
      </c>
      <c r="H617" t="s">
        <v>44</v>
      </c>
      <c r="I617" t="s">
        <v>43</v>
      </c>
      <c r="J617" t="s">
        <v>49</v>
      </c>
      <c r="K617" s="9">
        <v>35</v>
      </c>
      <c r="L617" s="10">
        <f>IFERROR(VLOOKUP(C617,Parâmetros!$A$5:$D$7,IF(D617="Mensal",2,IF(D617="Trimestral",3,4)),0),0)</f>
        <v>9.99</v>
      </c>
      <c r="M617" s="10">
        <f>IF(G617="Sim",VLOOKUP("EA Play",Parâmetros!$A$11:$B$13,2,0),0)*K617</f>
        <v>174.65</v>
      </c>
      <c r="N617" s="10">
        <f>IF(H617="Sim",VLOOKUP("Minecraft Pass",Parâmetros!$A$11:$B$13,2,0),0)*K617</f>
        <v>0</v>
      </c>
      <c r="O617" s="10">
        <f>IF(I617="Sim",VLOOKUP("Call of Duty Pass",Parâmetros!$A$11:$B$13,2,0),0)*K617</f>
        <v>244.65</v>
      </c>
      <c r="P617" s="10">
        <f>(L617*K617+M617+N617+O617)*IF(F617="Promoção",1-Parâmetros!$B$22,1)</f>
        <v>768.95</v>
      </c>
      <c r="Q617" s="10">
        <f>Parâmetros!$B$20*K617</f>
        <v>420</v>
      </c>
      <c r="R617" s="10">
        <f>P617-Q617</f>
        <v>348.95000000000005</v>
      </c>
    </row>
    <row r="618" spans="1:18">
      <c r="A618">
        <v>617</v>
      </c>
      <c r="B618" s="8">
        <v>45748</v>
      </c>
      <c r="C618" t="s">
        <v>7</v>
      </c>
      <c r="D618" t="s">
        <v>50</v>
      </c>
      <c r="E618" t="s">
        <v>53</v>
      </c>
      <c r="F618" t="s">
        <v>42</v>
      </c>
      <c r="G618" t="s">
        <v>44</v>
      </c>
      <c r="H618" t="s">
        <v>44</v>
      </c>
      <c r="I618" t="s">
        <v>44</v>
      </c>
      <c r="J618" t="s">
        <v>49</v>
      </c>
      <c r="K618" s="9">
        <v>24</v>
      </c>
      <c r="L618" s="10">
        <f>IFERROR(VLOOKUP(C618,Parâmetros!$A$5:$D$7,IF(D618="Mensal",2,IF(D618="Trimestral",3,4)),0),0)</f>
        <v>149</v>
      </c>
      <c r="M618" s="10">
        <f>IF(G618="Sim",VLOOKUP("EA Play",Parâmetros!$A$11:$B$13,2,0),0)*K618</f>
        <v>0</v>
      </c>
      <c r="N618" s="10">
        <f>IF(H618="Sim",VLOOKUP("Minecraft Pass",Parâmetros!$A$11:$B$13,2,0),0)*K618</f>
        <v>0</v>
      </c>
      <c r="O618" s="10">
        <f>IF(I618="Sim",VLOOKUP("Call of Duty Pass",Parâmetros!$A$11:$B$13,2,0),0)*K618</f>
        <v>0</v>
      </c>
      <c r="P618" s="10">
        <f>(L618*K618+M618+N618+O618)*IF(F618="Promoção",1-Parâmetros!$B$22,1)</f>
        <v>3576</v>
      </c>
      <c r="Q618" s="10">
        <f>Parâmetros!$B$20*K618</f>
        <v>288</v>
      </c>
      <c r="R618" s="10">
        <f>P618-Q618</f>
        <v>3288</v>
      </c>
    </row>
    <row r="619" spans="1:18">
      <c r="A619">
        <v>618</v>
      </c>
      <c r="B619" s="8">
        <v>45699</v>
      </c>
      <c r="C619" t="s">
        <v>6</v>
      </c>
      <c r="D619" t="s">
        <v>50</v>
      </c>
      <c r="E619" t="s">
        <v>41</v>
      </c>
      <c r="F619" t="s">
        <v>42</v>
      </c>
      <c r="G619" t="s">
        <v>43</v>
      </c>
      <c r="H619" t="s">
        <v>43</v>
      </c>
      <c r="I619" t="s">
        <v>44</v>
      </c>
      <c r="J619" t="s">
        <v>45</v>
      </c>
      <c r="K619" s="9">
        <v>6</v>
      </c>
      <c r="L619" s="10">
        <f>IFERROR(VLOOKUP(C619,Parâmetros!$A$5:$D$7,IF(D619="Mensal",2,IF(D619="Trimestral",3,4)),0),0)</f>
        <v>99</v>
      </c>
      <c r="M619" s="10">
        <f>IF(G619="Sim",VLOOKUP("EA Play",Parâmetros!$A$11:$B$13,2,0),0)*K619</f>
        <v>29.94</v>
      </c>
      <c r="N619" s="10">
        <f>IF(H619="Sim",VLOOKUP("Minecraft Pass",Parâmetros!$A$11:$B$13,2,0),0)*K619</f>
        <v>23.94</v>
      </c>
      <c r="O619" s="10">
        <f>IF(I619="Sim",VLOOKUP("Call of Duty Pass",Parâmetros!$A$11:$B$13,2,0),0)*K619</f>
        <v>0</v>
      </c>
      <c r="P619" s="10">
        <f>(L619*K619+M619+N619+O619)*IF(F619="Promoção",1-Parâmetros!$B$22,1)</f>
        <v>647.88000000000011</v>
      </c>
      <c r="Q619" s="10">
        <f>Parâmetros!$B$20*K619</f>
        <v>72</v>
      </c>
      <c r="R619" s="10">
        <f>P619-Q619</f>
        <v>575.88000000000011</v>
      </c>
    </row>
    <row r="620" spans="1:18">
      <c r="A620">
        <v>619</v>
      </c>
      <c r="B620" s="8">
        <v>45512</v>
      </c>
      <c r="C620" t="s">
        <v>7</v>
      </c>
      <c r="D620" t="s">
        <v>46</v>
      </c>
      <c r="E620" t="s">
        <v>53</v>
      </c>
      <c r="F620" t="s">
        <v>54</v>
      </c>
      <c r="G620" t="s">
        <v>43</v>
      </c>
      <c r="H620" t="s">
        <v>44</v>
      </c>
      <c r="I620" t="s">
        <v>44</v>
      </c>
      <c r="J620" t="s">
        <v>49</v>
      </c>
      <c r="K620" s="9">
        <v>27</v>
      </c>
      <c r="L620" s="10">
        <f>IFERROR(VLOOKUP(C620,Parâmetros!$A$5:$D$7,IF(D620="Mensal",2,IF(D620="Trimestral",3,4)),0),0)</f>
        <v>14.99</v>
      </c>
      <c r="M620" s="10">
        <f>IF(G620="Sim",VLOOKUP("EA Play",Parâmetros!$A$11:$B$13,2,0),0)*K620</f>
        <v>134.73000000000002</v>
      </c>
      <c r="N620" s="10">
        <f>IF(H620="Sim",VLOOKUP("Minecraft Pass",Parâmetros!$A$11:$B$13,2,0),0)*K620</f>
        <v>0</v>
      </c>
      <c r="O620" s="10">
        <f>IF(I620="Sim",VLOOKUP("Call of Duty Pass",Parâmetros!$A$11:$B$13,2,0),0)*K620</f>
        <v>0</v>
      </c>
      <c r="P620" s="10">
        <f>(L620*K620+M620+N620+O620)*IF(F620="Promoção",1-Parâmetros!$B$22,1)</f>
        <v>485.51400000000007</v>
      </c>
      <c r="Q620" s="10">
        <f>Parâmetros!$B$20*K620</f>
        <v>324</v>
      </c>
      <c r="R620" s="10">
        <f>P620-Q620</f>
        <v>161.51400000000007</v>
      </c>
    </row>
    <row r="621" spans="1:18">
      <c r="A621">
        <v>620</v>
      </c>
      <c r="B621" s="8">
        <v>45434</v>
      </c>
      <c r="C621" t="s">
        <v>8</v>
      </c>
      <c r="D621" t="s">
        <v>40</v>
      </c>
      <c r="E621" t="s">
        <v>41</v>
      </c>
      <c r="F621" t="s">
        <v>42</v>
      </c>
      <c r="G621" t="s">
        <v>44</v>
      </c>
      <c r="H621" t="s">
        <v>44</v>
      </c>
      <c r="I621" t="s">
        <v>44</v>
      </c>
      <c r="J621" t="s">
        <v>45</v>
      </c>
      <c r="K621" s="9">
        <v>25</v>
      </c>
      <c r="L621" s="10">
        <f>IFERROR(VLOOKUP(C621,Parâmetros!$A$5:$D$7,IF(D621="Mensal",2,IF(D621="Trimestral",3,4)),0),0)</f>
        <v>59</v>
      </c>
      <c r="M621" s="10">
        <f>IF(G621="Sim",VLOOKUP("EA Play",Parâmetros!$A$11:$B$13,2,0),0)*K621</f>
        <v>0</v>
      </c>
      <c r="N621" s="10">
        <f>IF(H621="Sim",VLOOKUP("Minecraft Pass",Parâmetros!$A$11:$B$13,2,0),0)*K621</f>
        <v>0</v>
      </c>
      <c r="O621" s="10">
        <f>IF(I621="Sim",VLOOKUP("Call of Duty Pass",Parâmetros!$A$11:$B$13,2,0),0)*K621</f>
        <v>0</v>
      </c>
      <c r="P621" s="10">
        <f>(L621*K621+M621+N621+O621)*IF(F621="Promoção",1-Parâmetros!$B$22,1)</f>
        <v>1475</v>
      </c>
      <c r="Q621" s="10">
        <f>Parâmetros!$B$20*K621</f>
        <v>300</v>
      </c>
      <c r="R621" s="10">
        <f>P621-Q621</f>
        <v>1175</v>
      </c>
    </row>
    <row r="622" spans="1:18">
      <c r="A622">
        <v>621</v>
      </c>
      <c r="B622" s="8">
        <v>45382</v>
      </c>
      <c r="C622" t="s">
        <v>6</v>
      </c>
      <c r="D622" t="s">
        <v>40</v>
      </c>
      <c r="E622" t="s">
        <v>41</v>
      </c>
      <c r="F622" t="s">
        <v>42</v>
      </c>
      <c r="G622" t="s">
        <v>44</v>
      </c>
      <c r="H622" t="s">
        <v>44</v>
      </c>
      <c r="I622" t="s">
        <v>44</v>
      </c>
      <c r="J622" t="s">
        <v>49</v>
      </c>
      <c r="K622" s="9">
        <v>25</v>
      </c>
      <c r="L622" s="10">
        <f>IFERROR(VLOOKUP(C622,Parâmetros!$A$5:$D$7,IF(D622="Mensal",2,IF(D622="Trimestral",3,4)),0),0)</f>
        <v>27</v>
      </c>
      <c r="M622" s="10">
        <f>IF(G622="Sim",VLOOKUP("EA Play",Parâmetros!$A$11:$B$13,2,0),0)*K622</f>
        <v>0</v>
      </c>
      <c r="N622" s="10">
        <f>IF(H622="Sim",VLOOKUP("Minecraft Pass",Parâmetros!$A$11:$B$13,2,0),0)*K622</f>
        <v>0</v>
      </c>
      <c r="O622" s="10">
        <f>IF(I622="Sim",VLOOKUP("Call of Duty Pass",Parâmetros!$A$11:$B$13,2,0),0)*K622</f>
        <v>0</v>
      </c>
      <c r="P622" s="10">
        <f>(L622*K622+M622+N622+O622)*IF(F622="Promoção",1-Parâmetros!$B$22,1)</f>
        <v>675</v>
      </c>
      <c r="Q622" s="10">
        <f>Parâmetros!$B$20*K622</f>
        <v>300</v>
      </c>
      <c r="R622" s="10">
        <f>P622-Q622</f>
        <v>375</v>
      </c>
    </row>
    <row r="623" spans="1:18">
      <c r="A623">
        <v>622</v>
      </c>
      <c r="B623" s="8">
        <v>45588</v>
      </c>
      <c r="C623" t="s">
        <v>7</v>
      </c>
      <c r="D623" t="s">
        <v>46</v>
      </c>
      <c r="E623" t="s">
        <v>51</v>
      </c>
      <c r="F623" t="s">
        <v>54</v>
      </c>
      <c r="G623" t="s">
        <v>43</v>
      </c>
      <c r="H623" t="s">
        <v>44</v>
      </c>
      <c r="I623" t="s">
        <v>44</v>
      </c>
      <c r="J623" t="s">
        <v>49</v>
      </c>
      <c r="K623" s="9">
        <v>1</v>
      </c>
      <c r="L623" s="10">
        <f>IFERROR(VLOOKUP(C623,Parâmetros!$A$5:$D$7,IF(D623="Mensal",2,IF(D623="Trimestral",3,4)),0),0)</f>
        <v>14.99</v>
      </c>
      <c r="M623" s="10">
        <f>IF(G623="Sim",VLOOKUP("EA Play",Parâmetros!$A$11:$B$13,2,0),0)*K623</f>
        <v>4.99</v>
      </c>
      <c r="N623" s="10">
        <f>IF(H623="Sim",VLOOKUP("Minecraft Pass",Parâmetros!$A$11:$B$13,2,0),0)*K623</f>
        <v>0</v>
      </c>
      <c r="O623" s="10">
        <f>IF(I623="Sim",VLOOKUP("Call of Duty Pass",Parâmetros!$A$11:$B$13,2,0),0)*K623</f>
        <v>0</v>
      </c>
      <c r="P623" s="10">
        <f>(L623*K623+M623+N623+O623)*IF(F623="Promoção",1-Parâmetros!$B$22,1)</f>
        <v>17.981999999999999</v>
      </c>
      <c r="Q623" s="10">
        <f>Parâmetros!$B$20*K623</f>
        <v>12</v>
      </c>
      <c r="R623" s="10">
        <f>P623-Q623</f>
        <v>5.9819999999999993</v>
      </c>
    </row>
    <row r="624" spans="1:18">
      <c r="A624">
        <v>623</v>
      </c>
      <c r="B624" s="8">
        <v>45449</v>
      </c>
      <c r="C624" t="s">
        <v>6</v>
      </c>
      <c r="D624" t="s">
        <v>50</v>
      </c>
      <c r="E624" t="s">
        <v>51</v>
      </c>
      <c r="F624" t="s">
        <v>48</v>
      </c>
      <c r="G624" t="s">
        <v>44</v>
      </c>
      <c r="H624" t="s">
        <v>44</v>
      </c>
      <c r="I624" t="s">
        <v>44</v>
      </c>
      <c r="J624" t="s">
        <v>49</v>
      </c>
      <c r="K624" s="9">
        <v>16</v>
      </c>
      <c r="L624" s="10">
        <f>IFERROR(VLOOKUP(C624,Parâmetros!$A$5:$D$7,IF(D624="Mensal",2,IF(D624="Trimestral",3,4)),0),0)</f>
        <v>99</v>
      </c>
      <c r="M624" s="10">
        <f>IF(G624="Sim",VLOOKUP("EA Play",Parâmetros!$A$11:$B$13,2,0),0)*K624</f>
        <v>0</v>
      </c>
      <c r="N624" s="10">
        <f>IF(H624="Sim",VLOOKUP("Minecraft Pass",Parâmetros!$A$11:$B$13,2,0),0)*K624</f>
        <v>0</v>
      </c>
      <c r="O624" s="10">
        <f>IF(I624="Sim",VLOOKUP("Call of Duty Pass",Parâmetros!$A$11:$B$13,2,0),0)*K624</f>
        <v>0</v>
      </c>
      <c r="P624" s="10">
        <f>(L624*K624+M624+N624+O624)*IF(F624="Promoção",1-Parâmetros!$B$22,1)</f>
        <v>1584</v>
      </c>
      <c r="Q624" s="10">
        <f>Parâmetros!$B$20*K624</f>
        <v>192</v>
      </c>
      <c r="R624" s="10">
        <f>P624-Q624</f>
        <v>1392</v>
      </c>
    </row>
    <row r="625" spans="1:18">
      <c r="A625">
        <v>624</v>
      </c>
      <c r="B625" s="8">
        <v>45321</v>
      </c>
      <c r="C625" t="s">
        <v>6</v>
      </c>
      <c r="D625" t="s">
        <v>46</v>
      </c>
      <c r="E625" t="s">
        <v>53</v>
      </c>
      <c r="F625" t="s">
        <v>42</v>
      </c>
      <c r="G625" t="s">
        <v>44</v>
      </c>
      <c r="H625" t="s">
        <v>44</v>
      </c>
      <c r="I625" t="s">
        <v>44</v>
      </c>
      <c r="J625" t="s">
        <v>45</v>
      </c>
      <c r="K625" s="9">
        <v>31</v>
      </c>
      <c r="L625" s="10">
        <f>IFERROR(VLOOKUP(C625,Parâmetros!$A$5:$D$7,IF(D625="Mensal",2,IF(D625="Trimestral",3,4)),0),0)</f>
        <v>9.99</v>
      </c>
      <c r="M625" s="10">
        <f>IF(G625="Sim",VLOOKUP("EA Play",Parâmetros!$A$11:$B$13,2,0),0)*K625</f>
        <v>0</v>
      </c>
      <c r="N625" s="10">
        <f>IF(H625="Sim",VLOOKUP("Minecraft Pass",Parâmetros!$A$11:$B$13,2,0),0)*K625</f>
        <v>0</v>
      </c>
      <c r="O625" s="10">
        <f>IF(I625="Sim",VLOOKUP("Call of Duty Pass",Parâmetros!$A$11:$B$13,2,0),0)*K625</f>
        <v>0</v>
      </c>
      <c r="P625" s="10">
        <f>(L625*K625+M625+N625+O625)*IF(F625="Promoção",1-Parâmetros!$B$22,1)</f>
        <v>309.69</v>
      </c>
      <c r="Q625" s="10">
        <f>Parâmetros!$B$20*K625</f>
        <v>372</v>
      </c>
      <c r="R625" s="10">
        <f>P625-Q625</f>
        <v>-62.31</v>
      </c>
    </row>
    <row r="626" spans="1:18">
      <c r="A626">
        <v>625</v>
      </c>
      <c r="B626" s="8">
        <v>46002</v>
      </c>
      <c r="C626" t="s">
        <v>8</v>
      </c>
      <c r="D626" t="s">
        <v>46</v>
      </c>
      <c r="E626" t="s">
        <v>51</v>
      </c>
      <c r="F626" t="s">
        <v>42</v>
      </c>
      <c r="G626" t="s">
        <v>43</v>
      </c>
      <c r="H626" t="s">
        <v>44</v>
      </c>
      <c r="I626" t="s">
        <v>43</v>
      </c>
      <c r="J626" t="s">
        <v>49</v>
      </c>
      <c r="K626" s="9">
        <v>9</v>
      </c>
      <c r="L626" s="10">
        <f>IFERROR(VLOOKUP(C626,Parâmetros!$A$5:$D$7,IF(D626="Mensal",2,IF(D626="Trimestral",3,4)),0),0)</f>
        <v>21.99</v>
      </c>
      <c r="M626" s="10">
        <f>IF(G626="Sim",VLOOKUP("EA Play",Parâmetros!$A$11:$B$13,2,0),0)*K626</f>
        <v>44.910000000000004</v>
      </c>
      <c r="N626" s="10">
        <f>IF(H626="Sim",VLOOKUP("Minecraft Pass",Parâmetros!$A$11:$B$13,2,0),0)*K626</f>
        <v>0</v>
      </c>
      <c r="O626" s="10">
        <f>IF(I626="Sim",VLOOKUP("Call of Duty Pass",Parâmetros!$A$11:$B$13,2,0),0)*K626</f>
        <v>62.910000000000004</v>
      </c>
      <c r="P626" s="10">
        <f>(L626*K626+M626+N626+O626)*IF(F626="Promoção",1-Parâmetros!$B$22,1)</f>
        <v>305.73</v>
      </c>
      <c r="Q626" s="10">
        <f>Parâmetros!$B$20*K626</f>
        <v>108</v>
      </c>
      <c r="R626" s="10">
        <f>P626-Q626</f>
        <v>197.73000000000002</v>
      </c>
    </row>
    <row r="627" spans="1:18">
      <c r="A627">
        <v>626</v>
      </c>
      <c r="B627" s="8">
        <v>45657</v>
      </c>
      <c r="C627" t="s">
        <v>6</v>
      </c>
      <c r="D627" t="s">
        <v>46</v>
      </c>
      <c r="E627" t="s">
        <v>41</v>
      </c>
      <c r="F627" t="s">
        <v>54</v>
      </c>
      <c r="G627" t="s">
        <v>43</v>
      </c>
      <c r="H627" t="s">
        <v>43</v>
      </c>
      <c r="I627" t="s">
        <v>44</v>
      </c>
      <c r="J627" t="s">
        <v>45</v>
      </c>
      <c r="K627" s="9">
        <v>33</v>
      </c>
      <c r="L627" s="10">
        <f>IFERROR(VLOOKUP(C627,Parâmetros!$A$5:$D$7,IF(D627="Mensal",2,IF(D627="Trimestral",3,4)),0),0)</f>
        <v>9.99</v>
      </c>
      <c r="M627" s="10">
        <f>IF(G627="Sim",VLOOKUP("EA Play",Parâmetros!$A$11:$B$13,2,0),0)*K627</f>
        <v>164.67000000000002</v>
      </c>
      <c r="N627" s="10">
        <f>IF(H627="Sim",VLOOKUP("Minecraft Pass",Parâmetros!$A$11:$B$13,2,0),0)*K627</f>
        <v>131.67000000000002</v>
      </c>
      <c r="O627" s="10">
        <f>IF(I627="Sim",VLOOKUP("Call of Duty Pass",Parâmetros!$A$11:$B$13,2,0),0)*K627</f>
        <v>0</v>
      </c>
      <c r="P627" s="10">
        <f>(L627*K627+M627+N627+O627)*IF(F627="Promoção",1-Parâmetros!$B$22,1)</f>
        <v>563.40899999999999</v>
      </c>
      <c r="Q627" s="10">
        <f>Parâmetros!$B$20*K627</f>
        <v>396</v>
      </c>
      <c r="R627" s="10">
        <f>P627-Q627</f>
        <v>167.40899999999999</v>
      </c>
    </row>
    <row r="628" spans="1:18">
      <c r="A628">
        <v>627</v>
      </c>
      <c r="B628" s="8">
        <v>45490</v>
      </c>
      <c r="C628" t="s">
        <v>8</v>
      </c>
      <c r="D628" t="s">
        <v>46</v>
      </c>
      <c r="E628" t="s">
        <v>41</v>
      </c>
      <c r="F628" t="s">
        <v>52</v>
      </c>
      <c r="G628" t="s">
        <v>44</v>
      </c>
      <c r="H628" t="s">
        <v>44</v>
      </c>
      <c r="I628" t="s">
        <v>44</v>
      </c>
      <c r="J628" t="s">
        <v>45</v>
      </c>
      <c r="K628" s="9">
        <v>20</v>
      </c>
      <c r="L628" s="10">
        <f>IFERROR(VLOOKUP(C628,Parâmetros!$A$5:$D$7,IF(D628="Mensal",2,IF(D628="Trimestral",3,4)),0),0)</f>
        <v>21.99</v>
      </c>
      <c r="M628" s="10">
        <f>IF(G628="Sim",VLOOKUP("EA Play",Parâmetros!$A$11:$B$13,2,0),0)*K628</f>
        <v>0</v>
      </c>
      <c r="N628" s="10">
        <f>IF(H628="Sim",VLOOKUP("Minecraft Pass",Parâmetros!$A$11:$B$13,2,0),0)*K628</f>
        <v>0</v>
      </c>
      <c r="O628" s="10">
        <f>IF(I628="Sim",VLOOKUP("Call of Duty Pass",Parâmetros!$A$11:$B$13,2,0),0)*K628</f>
        <v>0</v>
      </c>
      <c r="P628" s="10">
        <f>(L628*K628+M628+N628+O628)*IF(F628="Promoção",1-Parâmetros!$B$22,1)</f>
        <v>439.79999999999995</v>
      </c>
      <c r="Q628" s="10">
        <f>Parâmetros!$B$20*K628</f>
        <v>240</v>
      </c>
      <c r="R628" s="10">
        <f>P628-Q628</f>
        <v>199.79999999999995</v>
      </c>
    </row>
    <row r="629" spans="1:18">
      <c r="A629">
        <v>628</v>
      </c>
      <c r="B629" s="8">
        <v>45569</v>
      </c>
      <c r="C629" t="s">
        <v>7</v>
      </c>
      <c r="D629" t="s">
        <v>40</v>
      </c>
      <c r="E629" t="s">
        <v>41</v>
      </c>
      <c r="F629" t="s">
        <v>48</v>
      </c>
      <c r="G629" t="s">
        <v>44</v>
      </c>
      <c r="H629" t="s">
        <v>43</v>
      </c>
      <c r="I629" t="s">
        <v>44</v>
      </c>
      <c r="J629" t="s">
        <v>49</v>
      </c>
      <c r="K629" s="9">
        <v>32</v>
      </c>
      <c r="L629" s="10">
        <f>IFERROR(VLOOKUP(C629,Parâmetros!$A$5:$D$7,IF(D629="Mensal",2,IF(D629="Trimestral",3,4)),0),0)</f>
        <v>40</v>
      </c>
      <c r="M629" s="10">
        <f>IF(G629="Sim",VLOOKUP("EA Play",Parâmetros!$A$11:$B$13,2,0),0)*K629</f>
        <v>0</v>
      </c>
      <c r="N629" s="10">
        <f>IF(H629="Sim",VLOOKUP("Minecraft Pass",Parâmetros!$A$11:$B$13,2,0),0)*K629</f>
        <v>127.68</v>
      </c>
      <c r="O629" s="10">
        <f>IF(I629="Sim",VLOOKUP("Call of Duty Pass",Parâmetros!$A$11:$B$13,2,0),0)*K629</f>
        <v>0</v>
      </c>
      <c r="P629" s="10">
        <f>(L629*K629+M629+N629+O629)*IF(F629="Promoção",1-Parâmetros!$B$22,1)</f>
        <v>1407.68</v>
      </c>
      <c r="Q629" s="10">
        <f>Parâmetros!$B$20*K629</f>
        <v>384</v>
      </c>
      <c r="R629" s="10">
        <f>P629-Q629</f>
        <v>1023.6800000000001</v>
      </c>
    </row>
    <row r="630" spans="1:18">
      <c r="A630">
        <v>629</v>
      </c>
      <c r="B630" s="8">
        <v>45713</v>
      </c>
      <c r="C630" t="s">
        <v>6</v>
      </c>
      <c r="D630" t="s">
        <v>50</v>
      </c>
      <c r="E630" t="s">
        <v>41</v>
      </c>
      <c r="F630" t="s">
        <v>42</v>
      </c>
      <c r="G630" t="s">
        <v>43</v>
      </c>
      <c r="H630" t="s">
        <v>43</v>
      </c>
      <c r="I630" t="s">
        <v>44</v>
      </c>
      <c r="J630" t="s">
        <v>45</v>
      </c>
      <c r="K630" s="9">
        <v>34</v>
      </c>
      <c r="L630" s="10">
        <f>IFERROR(VLOOKUP(C630,Parâmetros!$A$5:$D$7,IF(D630="Mensal",2,IF(D630="Trimestral",3,4)),0),0)</f>
        <v>99</v>
      </c>
      <c r="M630" s="10">
        <f>IF(G630="Sim",VLOOKUP("EA Play",Parâmetros!$A$11:$B$13,2,0),0)*K630</f>
        <v>169.66</v>
      </c>
      <c r="N630" s="10">
        <f>IF(H630="Sim",VLOOKUP("Minecraft Pass",Parâmetros!$A$11:$B$13,2,0),0)*K630</f>
        <v>135.66</v>
      </c>
      <c r="O630" s="10">
        <f>IF(I630="Sim",VLOOKUP("Call of Duty Pass",Parâmetros!$A$11:$B$13,2,0),0)*K630</f>
        <v>0</v>
      </c>
      <c r="P630" s="10">
        <f>(L630*K630+M630+N630+O630)*IF(F630="Promoção",1-Parâmetros!$B$22,1)</f>
        <v>3671.3199999999997</v>
      </c>
      <c r="Q630" s="10">
        <f>Parâmetros!$B$20*K630</f>
        <v>408</v>
      </c>
      <c r="R630" s="10">
        <f>P630-Q630</f>
        <v>3263.3199999999997</v>
      </c>
    </row>
    <row r="631" spans="1:18">
      <c r="A631">
        <v>630</v>
      </c>
      <c r="B631" s="8">
        <v>45836</v>
      </c>
      <c r="C631" t="s">
        <v>7</v>
      </c>
      <c r="D631" t="s">
        <v>40</v>
      </c>
      <c r="E631" t="s">
        <v>51</v>
      </c>
      <c r="F631" t="s">
        <v>48</v>
      </c>
      <c r="G631" t="s">
        <v>44</v>
      </c>
      <c r="H631" t="s">
        <v>43</v>
      </c>
      <c r="I631" t="s">
        <v>43</v>
      </c>
      <c r="J631" t="s">
        <v>49</v>
      </c>
      <c r="K631" s="9">
        <v>23</v>
      </c>
      <c r="L631" s="10">
        <f>IFERROR(VLOOKUP(C631,Parâmetros!$A$5:$D$7,IF(D631="Mensal",2,IF(D631="Trimestral",3,4)),0),0)</f>
        <v>40</v>
      </c>
      <c r="M631" s="10">
        <f>IF(G631="Sim",VLOOKUP("EA Play",Parâmetros!$A$11:$B$13,2,0),0)*K631</f>
        <v>0</v>
      </c>
      <c r="N631" s="10">
        <f>IF(H631="Sim",VLOOKUP("Minecraft Pass",Parâmetros!$A$11:$B$13,2,0),0)*K631</f>
        <v>91.77000000000001</v>
      </c>
      <c r="O631" s="10">
        <f>IF(I631="Sim",VLOOKUP("Call of Duty Pass",Parâmetros!$A$11:$B$13,2,0),0)*K631</f>
        <v>160.77000000000001</v>
      </c>
      <c r="P631" s="10">
        <f>(L631*K631+M631+N631+O631)*IF(F631="Promoção",1-Parâmetros!$B$22,1)</f>
        <v>1172.54</v>
      </c>
      <c r="Q631" s="10">
        <f>Parâmetros!$B$20*K631</f>
        <v>276</v>
      </c>
      <c r="R631" s="10">
        <f>P631-Q631</f>
        <v>896.54</v>
      </c>
    </row>
    <row r="632" spans="1:18">
      <c r="A632">
        <v>631</v>
      </c>
      <c r="B632" s="8">
        <v>45611</v>
      </c>
      <c r="C632" t="s">
        <v>7</v>
      </c>
      <c r="D632" t="s">
        <v>46</v>
      </c>
      <c r="E632" t="s">
        <v>47</v>
      </c>
      <c r="F632" t="s">
        <v>54</v>
      </c>
      <c r="G632" t="s">
        <v>44</v>
      </c>
      <c r="H632" t="s">
        <v>44</v>
      </c>
      <c r="I632" t="s">
        <v>43</v>
      </c>
      <c r="J632" t="s">
        <v>49</v>
      </c>
      <c r="K632" s="9">
        <v>8</v>
      </c>
      <c r="L632" s="10">
        <f>IFERROR(VLOOKUP(C632,Parâmetros!$A$5:$D$7,IF(D632="Mensal",2,IF(D632="Trimestral",3,4)),0),0)</f>
        <v>14.99</v>
      </c>
      <c r="M632" s="10">
        <f>IF(G632="Sim",VLOOKUP("EA Play",Parâmetros!$A$11:$B$13,2,0),0)*K632</f>
        <v>0</v>
      </c>
      <c r="N632" s="10">
        <f>IF(H632="Sim",VLOOKUP("Minecraft Pass",Parâmetros!$A$11:$B$13,2,0),0)*K632</f>
        <v>0</v>
      </c>
      <c r="O632" s="10">
        <f>IF(I632="Sim",VLOOKUP("Call of Duty Pass",Parâmetros!$A$11:$B$13,2,0),0)*K632</f>
        <v>55.92</v>
      </c>
      <c r="P632" s="10">
        <f>(L632*K632+M632+N632+O632)*IF(F632="Promoção",1-Parâmetros!$B$22,1)</f>
        <v>158.256</v>
      </c>
      <c r="Q632" s="10">
        <f>Parâmetros!$B$20*K632</f>
        <v>96</v>
      </c>
      <c r="R632" s="10">
        <f>P632-Q632</f>
        <v>62.256</v>
      </c>
    </row>
    <row r="633" spans="1:18">
      <c r="A633">
        <v>632</v>
      </c>
      <c r="B633" s="8">
        <v>45519</v>
      </c>
      <c r="C633" t="s">
        <v>6</v>
      </c>
      <c r="D633" t="s">
        <v>40</v>
      </c>
      <c r="E633" t="s">
        <v>51</v>
      </c>
      <c r="F633" t="s">
        <v>42</v>
      </c>
      <c r="G633" t="s">
        <v>43</v>
      </c>
      <c r="H633" t="s">
        <v>44</v>
      </c>
      <c r="I633" t="s">
        <v>44</v>
      </c>
      <c r="J633" t="s">
        <v>45</v>
      </c>
      <c r="K633" s="9">
        <v>8</v>
      </c>
      <c r="L633" s="10">
        <f>IFERROR(VLOOKUP(C633,Parâmetros!$A$5:$D$7,IF(D633="Mensal",2,IF(D633="Trimestral",3,4)),0),0)</f>
        <v>27</v>
      </c>
      <c r="M633" s="10">
        <f>IF(G633="Sim",VLOOKUP("EA Play",Parâmetros!$A$11:$B$13,2,0),0)*K633</f>
        <v>39.92</v>
      </c>
      <c r="N633" s="10">
        <f>IF(H633="Sim",VLOOKUP("Minecraft Pass",Parâmetros!$A$11:$B$13,2,0),0)*K633</f>
        <v>0</v>
      </c>
      <c r="O633" s="10">
        <f>IF(I633="Sim",VLOOKUP("Call of Duty Pass",Parâmetros!$A$11:$B$13,2,0),0)*K633</f>
        <v>0</v>
      </c>
      <c r="P633" s="10">
        <f>(L633*K633+M633+N633+O633)*IF(F633="Promoção",1-Parâmetros!$B$22,1)</f>
        <v>255.92000000000002</v>
      </c>
      <c r="Q633" s="10">
        <f>Parâmetros!$B$20*K633</f>
        <v>96</v>
      </c>
      <c r="R633" s="10">
        <f>P633-Q633</f>
        <v>159.92000000000002</v>
      </c>
    </row>
    <row r="634" spans="1:18">
      <c r="A634">
        <v>633</v>
      </c>
      <c r="B634" s="8">
        <v>45371</v>
      </c>
      <c r="C634" t="s">
        <v>6</v>
      </c>
      <c r="D634" t="s">
        <v>46</v>
      </c>
      <c r="E634" t="s">
        <v>47</v>
      </c>
      <c r="F634" t="s">
        <v>42</v>
      </c>
      <c r="G634" t="s">
        <v>43</v>
      </c>
      <c r="H634" t="s">
        <v>44</v>
      </c>
      <c r="I634" t="s">
        <v>44</v>
      </c>
      <c r="J634" t="s">
        <v>49</v>
      </c>
      <c r="K634" s="9">
        <v>17</v>
      </c>
      <c r="L634" s="10">
        <f>IFERROR(VLOOKUP(C634,Parâmetros!$A$5:$D$7,IF(D634="Mensal",2,IF(D634="Trimestral",3,4)),0),0)</f>
        <v>9.99</v>
      </c>
      <c r="M634" s="10">
        <f>IF(G634="Sim",VLOOKUP("EA Play",Parâmetros!$A$11:$B$13,2,0),0)*K634</f>
        <v>84.83</v>
      </c>
      <c r="N634" s="10">
        <f>IF(H634="Sim",VLOOKUP("Minecraft Pass",Parâmetros!$A$11:$B$13,2,0),0)*K634</f>
        <v>0</v>
      </c>
      <c r="O634" s="10">
        <f>IF(I634="Sim",VLOOKUP("Call of Duty Pass",Parâmetros!$A$11:$B$13,2,0),0)*K634</f>
        <v>0</v>
      </c>
      <c r="P634" s="10">
        <f>(L634*K634+M634+N634+O634)*IF(F634="Promoção",1-Parâmetros!$B$22,1)</f>
        <v>254.66000000000003</v>
      </c>
      <c r="Q634" s="10">
        <f>Parâmetros!$B$20*K634</f>
        <v>204</v>
      </c>
      <c r="R634" s="10">
        <f>P634-Q634</f>
        <v>50.660000000000025</v>
      </c>
    </row>
    <row r="635" spans="1:18">
      <c r="A635">
        <v>634</v>
      </c>
      <c r="B635" s="8">
        <v>45336</v>
      </c>
      <c r="C635" t="s">
        <v>6</v>
      </c>
      <c r="D635" t="s">
        <v>40</v>
      </c>
      <c r="E635" t="s">
        <v>51</v>
      </c>
      <c r="F635" t="s">
        <v>52</v>
      </c>
      <c r="G635" t="s">
        <v>44</v>
      </c>
      <c r="H635" t="s">
        <v>43</v>
      </c>
      <c r="I635" t="s">
        <v>44</v>
      </c>
      <c r="J635" t="s">
        <v>49</v>
      </c>
      <c r="K635" s="9">
        <v>23</v>
      </c>
      <c r="L635" s="10">
        <f>IFERROR(VLOOKUP(C635,Parâmetros!$A$5:$D$7,IF(D635="Mensal",2,IF(D635="Trimestral",3,4)),0),0)</f>
        <v>27</v>
      </c>
      <c r="M635" s="10">
        <f>IF(G635="Sim",VLOOKUP("EA Play",Parâmetros!$A$11:$B$13,2,0),0)*K635</f>
        <v>0</v>
      </c>
      <c r="N635" s="10">
        <f>IF(H635="Sim",VLOOKUP("Minecraft Pass",Parâmetros!$A$11:$B$13,2,0),0)*K635</f>
        <v>91.77000000000001</v>
      </c>
      <c r="O635" s="10">
        <f>IF(I635="Sim",VLOOKUP("Call of Duty Pass",Parâmetros!$A$11:$B$13,2,0),0)*K635</f>
        <v>0</v>
      </c>
      <c r="P635" s="10">
        <f>(L635*K635+M635+N635+O635)*IF(F635="Promoção",1-Parâmetros!$B$22,1)</f>
        <v>712.77</v>
      </c>
      <c r="Q635" s="10">
        <f>Parâmetros!$B$20*K635</f>
        <v>276</v>
      </c>
      <c r="R635" s="10">
        <f>P635-Q635</f>
        <v>436.77</v>
      </c>
    </row>
    <row r="636" spans="1:18">
      <c r="A636">
        <v>635</v>
      </c>
      <c r="B636" s="8">
        <v>45321</v>
      </c>
      <c r="C636" t="s">
        <v>6</v>
      </c>
      <c r="D636" t="s">
        <v>50</v>
      </c>
      <c r="E636" t="s">
        <v>53</v>
      </c>
      <c r="F636" t="s">
        <v>54</v>
      </c>
      <c r="G636" t="s">
        <v>43</v>
      </c>
      <c r="H636" t="s">
        <v>43</v>
      </c>
      <c r="I636" t="s">
        <v>44</v>
      </c>
      <c r="J636" t="s">
        <v>45</v>
      </c>
      <c r="K636" s="9">
        <v>16</v>
      </c>
      <c r="L636" s="10">
        <f>IFERROR(VLOOKUP(C636,Parâmetros!$A$5:$D$7,IF(D636="Mensal",2,IF(D636="Trimestral",3,4)),0),0)</f>
        <v>99</v>
      </c>
      <c r="M636" s="10">
        <f>IF(G636="Sim",VLOOKUP("EA Play",Parâmetros!$A$11:$B$13,2,0),0)*K636</f>
        <v>79.84</v>
      </c>
      <c r="N636" s="10">
        <f>IF(H636="Sim",VLOOKUP("Minecraft Pass",Parâmetros!$A$11:$B$13,2,0),0)*K636</f>
        <v>63.84</v>
      </c>
      <c r="O636" s="10">
        <f>IF(I636="Sim",VLOOKUP("Call of Duty Pass",Parâmetros!$A$11:$B$13,2,0),0)*K636</f>
        <v>0</v>
      </c>
      <c r="P636" s="10">
        <f>(L636*K636+M636+N636+O636)*IF(F636="Promoção",1-Parâmetros!$B$22,1)</f>
        <v>1554.9119999999998</v>
      </c>
      <c r="Q636" s="10">
        <f>Parâmetros!$B$20*K636</f>
        <v>192</v>
      </c>
      <c r="R636" s="10">
        <f>P636-Q636</f>
        <v>1362.9119999999998</v>
      </c>
    </row>
    <row r="637" spans="1:18">
      <c r="A637">
        <v>636</v>
      </c>
      <c r="B637" s="8">
        <v>45809</v>
      </c>
      <c r="C637" t="s">
        <v>7</v>
      </c>
      <c r="D637" t="s">
        <v>46</v>
      </c>
      <c r="E637" t="s">
        <v>47</v>
      </c>
      <c r="F637" t="s">
        <v>42</v>
      </c>
      <c r="G637" t="s">
        <v>43</v>
      </c>
      <c r="H637" t="s">
        <v>43</v>
      </c>
      <c r="I637" t="s">
        <v>43</v>
      </c>
      <c r="J637" t="s">
        <v>45</v>
      </c>
      <c r="K637" s="9">
        <v>35</v>
      </c>
      <c r="L637" s="10">
        <f>IFERROR(VLOOKUP(C637,Parâmetros!$A$5:$D$7,IF(D637="Mensal",2,IF(D637="Trimestral",3,4)),0),0)</f>
        <v>14.99</v>
      </c>
      <c r="M637" s="10">
        <f>IF(G637="Sim",VLOOKUP("EA Play",Parâmetros!$A$11:$B$13,2,0),0)*K637</f>
        <v>174.65</v>
      </c>
      <c r="N637" s="10">
        <f>IF(H637="Sim",VLOOKUP("Minecraft Pass",Parâmetros!$A$11:$B$13,2,0),0)*K637</f>
        <v>139.65</v>
      </c>
      <c r="O637" s="10">
        <f>IF(I637="Sim",VLOOKUP("Call of Duty Pass",Parâmetros!$A$11:$B$13,2,0),0)*K637</f>
        <v>244.65</v>
      </c>
      <c r="P637" s="10">
        <f>(L637*K637+M637+N637+O637)*IF(F637="Promoção",1-Parâmetros!$B$22,1)</f>
        <v>1083.5999999999999</v>
      </c>
      <c r="Q637" s="10">
        <f>Parâmetros!$B$20*K637</f>
        <v>420</v>
      </c>
      <c r="R637" s="10">
        <f>P637-Q637</f>
        <v>663.59999999999991</v>
      </c>
    </row>
    <row r="638" spans="1:18">
      <c r="A638">
        <v>637</v>
      </c>
      <c r="B638" s="8">
        <v>45296</v>
      </c>
      <c r="C638" t="s">
        <v>8</v>
      </c>
      <c r="D638" t="s">
        <v>46</v>
      </c>
      <c r="E638" t="s">
        <v>41</v>
      </c>
      <c r="F638" t="s">
        <v>48</v>
      </c>
      <c r="G638" t="s">
        <v>44</v>
      </c>
      <c r="H638" t="s">
        <v>43</v>
      </c>
      <c r="I638" t="s">
        <v>44</v>
      </c>
      <c r="J638" t="s">
        <v>49</v>
      </c>
      <c r="K638" s="9">
        <v>7</v>
      </c>
      <c r="L638" s="10">
        <f>IFERROR(VLOOKUP(C638,Parâmetros!$A$5:$D$7,IF(D638="Mensal",2,IF(D638="Trimestral",3,4)),0),0)</f>
        <v>21.99</v>
      </c>
      <c r="M638" s="10">
        <f>IF(G638="Sim",VLOOKUP("EA Play",Parâmetros!$A$11:$B$13,2,0),0)*K638</f>
        <v>0</v>
      </c>
      <c r="N638" s="10">
        <f>IF(H638="Sim",VLOOKUP("Minecraft Pass",Parâmetros!$A$11:$B$13,2,0),0)*K638</f>
        <v>27.93</v>
      </c>
      <c r="O638" s="10">
        <f>IF(I638="Sim",VLOOKUP("Call of Duty Pass",Parâmetros!$A$11:$B$13,2,0),0)*K638</f>
        <v>0</v>
      </c>
      <c r="P638" s="10">
        <f>(L638*K638+M638+N638+O638)*IF(F638="Promoção",1-Parâmetros!$B$22,1)</f>
        <v>181.85999999999999</v>
      </c>
      <c r="Q638" s="10">
        <f>Parâmetros!$B$20*K638</f>
        <v>84</v>
      </c>
      <c r="R638" s="10">
        <f>P638-Q638</f>
        <v>97.859999999999985</v>
      </c>
    </row>
    <row r="639" spans="1:18">
      <c r="A639">
        <v>638</v>
      </c>
      <c r="B639" s="8">
        <v>45477</v>
      </c>
      <c r="C639" t="s">
        <v>8</v>
      </c>
      <c r="D639" t="s">
        <v>50</v>
      </c>
      <c r="E639" t="s">
        <v>47</v>
      </c>
      <c r="F639" t="s">
        <v>48</v>
      </c>
      <c r="G639" t="s">
        <v>43</v>
      </c>
      <c r="H639" t="s">
        <v>44</v>
      </c>
      <c r="I639" t="s">
        <v>44</v>
      </c>
      <c r="J639" t="s">
        <v>49</v>
      </c>
      <c r="K639" s="9">
        <v>34</v>
      </c>
      <c r="L639" s="10">
        <f>IFERROR(VLOOKUP(C639,Parâmetros!$A$5:$D$7,IF(D639="Mensal",2,IF(D639="Trimestral",3,4)),0),0)</f>
        <v>219</v>
      </c>
      <c r="M639" s="10">
        <f>IF(G639="Sim",VLOOKUP("EA Play",Parâmetros!$A$11:$B$13,2,0),0)*K639</f>
        <v>169.66</v>
      </c>
      <c r="N639" s="10">
        <f>IF(H639="Sim",VLOOKUP("Minecraft Pass",Parâmetros!$A$11:$B$13,2,0),0)*K639</f>
        <v>0</v>
      </c>
      <c r="O639" s="10">
        <f>IF(I639="Sim",VLOOKUP("Call of Duty Pass",Parâmetros!$A$11:$B$13,2,0),0)*K639</f>
        <v>0</v>
      </c>
      <c r="P639" s="10">
        <f>(L639*K639+M639+N639+O639)*IF(F639="Promoção",1-Parâmetros!$B$22,1)</f>
        <v>7615.66</v>
      </c>
      <c r="Q639" s="10">
        <f>Parâmetros!$B$20*K639</f>
        <v>408</v>
      </c>
      <c r="R639" s="10">
        <f>P639-Q639</f>
        <v>7207.66</v>
      </c>
    </row>
    <row r="640" spans="1:18">
      <c r="A640">
        <v>639</v>
      </c>
      <c r="B640" s="8">
        <v>45431</v>
      </c>
      <c r="C640" t="s">
        <v>7</v>
      </c>
      <c r="D640" t="s">
        <v>46</v>
      </c>
      <c r="E640" t="s">
        <v>41</v>
      </c>
      <c r="F640" t="s">
        <v>52</v>
      </c>
      <c r="G640" t="s">
        <v>43</v>
      </c>
      <c r="H640" t="s">
        <v>44</v>
      </c>
      <c r="I640" t="s">
        <v>44</v>
      </c>
      <c r="J640" t="s">
        <v>49</v>
      </c>
      <c r="K640" s="9">
        <v>20</v>
      </c>
      <c r="L640" s="10">
        <f>IFERROR(VLOOKUP(C640,Parâmetros!$A$5:$D$7,IF(D640="Mensal",2,IF(D640="Trimestral",3,4)),0),0)</f>
        <v>14.99</v>
      </c>
      <c r="M640" s="10">
        <f>IF(G640="Sim",VLOOKUP("EA Play",Parâmetros!$A$11:$B$13,2,0),0)*K640</f>
        <v>99.800000000000011</v>
      </c>
      <c r="N640" s="10">
        <f>IF(H640="Sim",VLOOKUP("Minecraft Pass",Parâmetros!$A$11:$B$13,2,0),0)*K640</f>
        <v>0</v>
      </c>
      <c r="O640" s="10">
        <f>IF(I640="Sim",VLOOKUP("Call of Duty Pass",Parâmetros!$A$11:$B$13,2,0),0)*K640</f>
        <v>0</v>
      </c>
      <c r="P640" s="10">
        <f>(L640*K640+M640+N640+O640)*IF(F640="Promoção",1-Parâmetros!$B$22,1)</f>
        <v>399.6</v>
      </c>
      <c r="Q640" s="10">
        <f>Parâmetros!$B$20*K640</f>
        <v>240</v>
      </c>
      <c r="R640" s="10">
        <f>P640-Q640</f>
        <v>159.60000000000002</v>
      </c>
    </row>
    <row r="641" spans="1:18">
      <c r="A641">
        <v>640</v>
      </c>
      <c r="B641" s="8">
        <v>45995</v>
      </c>
      <c r="C641" t="s">
        <v>8</v>
      </c>
      <c r="D641" t="s">
        <v>46</v>
      </c>
      <c r="E641" t="s">
        <v>47</v>
      </c>
      <c r="F641" t="s">
        <v>42</v>
      </c>
      <c r="G641" t="s">
        <v>44</v>
      </c>
      <c r="H641" t="s">
        <v>43</v>
      </c>
      <c r="I641" t="s">
        <v>43</v>
      </c>
      <c r="J641" t="s">
        <v>45</v>
      </c>
      <c r="K641" s="9">
        <v>31</v>
      </c>
      <c r="L641" s="10">
        <f>IFERROR(VLOOKUP(C641,Parâmetros!$A$5:$D$7,IF(D641="Mensal",2,IF(D641="Trimestral",3,4)),0),0)</f>
        <v>21.99</v>
      </c>
      <c r="M641" s="10">
        <f>IF(G641="Sim",VLOOKUP("EA Play",Parâmetros!$A$11:$B$13,2,0),0)*K641</f>
        <v>0</v>
      </c>
      <c r="N641" s="10">
        <f>IF(H641="Sim",VLOOKUP("Minecraft Pass",Parâmetros!$A$11:$B$13,2,0),0)*K641</f>
        <v>123.69000000000001</v>
      </c>
      <c r="O641" s="10">
        <f>IF(I641="Sim",VLOOKUP("Call of Duty Pass",Parâmetros!$A$11:$B$13,2,0),0)*K641</f>
        <v>216.69</v>
      </c>
      <c r="P641" s="10">
        <f>(L641*K641+M641+N641+O641)*IF(F641="Promoção",1-Parâmetros!$B$22,1)</f>
        <v>1022.0699999999999</v>
      </c>
      <c r="Q641" s="10">
        <f>Parâmetros!$B$20*K641</f>
        <v>372</v>
      </c>
      <c r="R641" s="10">
        <f>P641-Q641</f>
        <v>650.06999999999994</v>
      </c>
    </row>
    <row r="642" spans="1:18">
      <c r="A642">
        <v>641</v>
      </c>
      <c r="B642" s="8">
        <v>45987</v>
      </c>
      <c r="C642" t="s">
        <v>6</v>
      </c>
      <c r="D642" t="s">
        <v>46</v>
      </c>
      <c r="E642" t="s">
        <v>51</v>
      </c>
      <c r="F642" t="s">
        <v>52</v>
      </c>
      <c r="G642" t="s">
        <v>43</v>
      </c>
      <c r="H642" t="s">
        <v>44</v>
      </c>
      <c r="I642" t="s">
        <v>44</v>
      </c>
      <c r="J642" t="s">
        <v>49</v>
      </c>
      <c r="K642" s="9">
        <v>26</v>
      </c>
      <c r="L642" s="10">
        <f>IFERROR(VLOOKUP(C642,Parâmetros!$A$5:$D$7,IF(D642="Mensal",2,IF(D642="Trimestral",3,4)),0),0)</f>
        <v>9.99</v>
      </c>
      <c r="M642" s="10">
        <f>IF(G642="Sim",VLOOKUP("EA Play",Parâmetros!$A$11:$B$13,2,0),0)*K642</f>
        <v>129.74</v>
      </c>
      <c r="N642" s="10">
        <f>IF(H642="Sim",VLOOKUP("Minecraft Pass",Parâmetros!$A$11:$B$13,2,0),0)*K642</f>
        <v>0</v>
      </c>
      <c r="O642" s="10">
        <f>IF(I642="Sim",VLOOKUP("Call of Duty Pass",Parâmetros!$A$11:$B$13,2,0),0)*K642</f>
        <v>0</v>
      </c>
      <c r="P642" s="10">
        <f>(L642*K642+M642+N642+O642)*IF(F642="Promoção",1-Parâmetros!$B$22,1)</f>
        <v>389.48</v>
      </c>
      <c r="Q642" s="10">
        <f>Parâmetros!$B$20*K642</f>
        <v>312</v>
      </c>
      <c r="R642" s="10">
        <f>P642-Q642</f>
        <v>77.480000000000018</v>
      </c>
    </row>
    <row r="643" spans="1:18">
      <c r="A643">
        <v>642</v>
      </c>
      <c r="B643" s="8">
        <v>45702</v>
      </c>
      <c r="C643" t="s">
        <v>7</v>
      </c>
      <c r="D643" t="s">
        <v>50</v>
      </c>
      <c r="E643" t="s">
        <v>51</v>
      </c>
      <c r="F643" t="s">
        <v>54</v>
      </c>
      <c r="G643" t="s">
        <v>43</v>
      </c>
      <c r="H643" t="s">
        <v>43</v>
      </c>
      <c r="I643" t="s">
        <v>43</v>
      </c>
      <c r="J643" t="s">
        <v>49</v>
      </c>
      <c r="K643" s="9">
        <v>26</v>
      </c>
      <c r="L643" s="10">
        <f>IFERROR(VLOOKUP(C643,Parâmetros!$A$5:$D$7,IF(D643="Mensal",2,IF(D643="Trimestral",3,4)),0),0)</f>
        <v>149</v>
      </c>
      <c r="M643" s="10">
        <f>IF(G643="Sim",VLOOKUP("EA Play",Parâmetros!$A$11:$B$13,2,0),0)*K643</f>
        <v>129.74</v>
      </c>
      <c r="N643" s="10">
        <f>IF(H643="Sim",VLOOKUP("Minecraft Pass",Parâmetros!$A$11:$B$13,2,0),0)*K643</f>
        <v>103.74000000000001</v>
      </c>
      <c r="O643" s="10">
        <f>IF(I643="Sim",VLOOKUP("Call of Duty Pass",Parâmetros!$A$11:$B$13,2,0),0)*K643</f>
        <v>181.74</v>
      </c>
      <c r="P643" s="10">
        <f>(L643*K643+M643+N643+O643)*IF(F643="Promoção",1-Parâmetros!$B$22,1)</f>
        <v>3860.2979999999993</v>
      </c>
      <c r="Q643" s="10">
        <f>Parâmetros!$B$20*K643</f>
        <v>312</v>
      </c>
      <c r="R643" s="10">
        <f>P643-Q643</f>
        <v>3548.2979999999993</v>
      </c>
    </row>
    <row r="644" spans="1:18">
      <c r="A644">
        <v>643</v>
      </c>
      <c r="B644" s="8">
        <v>45417</v>
      </c>
      <c r="C644" t="s">
        <v>6</v>
      </c>
      <c r="D644" t="s">
        <v>46</v>
      </c>
      <c r="E644" t="s">
        <v>47</v>
      </c>
      <c r="F644" t="s">
        <v>52</v>
      </c>
      <c r="G644" t="s">
        <v>44</v>
      </c>
      <c r="H644" t="s">
        <v>44</v>
      </c>
      <c r="I644" t="s">
        <v>44</v>
      </c>
      <c r="J644" t="s">
        <v>45</v>
      </c>
      <c r="K644" s="9">
        <v>26</v>
      </c>
      <c r="L644" s="10">
        <f>IFERROR(VLOOKUP(C644,Parâmetros!$A$5:$D$7,IF(D644="Mensal",2,IF(D644="Trimestral",3,4)),0),0)</f>
        <v>9.99</v>
      </c>
      <c r="M644" s="10">
        <f>IF(G644="Sim",VLOOKUP("EA Play",Parâmetros!$A$11:$B$13,2,0),0)*K644</f>
        <v>0</v>
      </c>
      <c r="N644" s="10">
        <f>IF(H644="Sim",VLOOKUP("Minecraft Pass",Parâmetros!$A$11:$B$13,2,0),0)*K644</f>
        <v>0</v>
      </c>
      <c r="O644" s="10">
        <f>IF(I644="Sim",VLOOKUP("Call of Duty Pass",Parâmetros!$A$11:$B$13,2,0),0)*K644</f>
        <v>0</v>
      </c>
      <c r="P644" s="10">
        <f>(L644*K644+M644+N644+O644)*IF(F644="Promoção",1-Parâmetros!$B$22,1)</f>
        <v>259.74</v>
      </c>
      <c r="Q644" s="10">
        <f>Parâmetros!$B$20*K644</f>
        <v>312</v>
      </c>
      <c r="R644" s="10">
        <f>P644-Q644</f>
        <v>-52.259999999999991</v>
      </c>
    </row>
    <row r="645" spans="1:18">
      <c r="A645">
        <v>644</v>
      </c>
      <c r="B645" s="8">
        <v>45656</v>
      </c>
      <c r="C645" t="s">
        <v>7</v>
      </c>
      <c r="D645" t="s">
        <v>40</v>
      </c>
      <c r="E645" t="s">
        <v>41</v>
      </c>
      <c r="F645" t="s">
        <v>48</v>
      </c>
      <c r="G645" t="s">
        <v>43</v>
      </c>
      <c r="H645" t="s">
        <v>44</v>
      </c>
      <c r="I645" t="s">
        <v>43</v>
      </c>
      <c r="J645" t="s">
        <v>49</v>
      </c>
      <c r="K645" s="9">
        <v>32</v>
      </c>
      <c r="L645" s="10">
        <f>IFERROR(VLOOKUP(C645,Parâmetros!$A$5:$D$7,IF(D645="Mensal",2,IF(D645="Trimestral",3,4)),0),0)</f>
        <v>40</v>
      </c>
      <c r="M645" s="10">
        <f>IF(G645="Sim",VLOOKUP("EA Play",Parâmetros!$A$11:$B$13,2,0),0)*K645</f>
        <v>159.68</v>
      </c>
      <c r="N645" s="10">
        <f>IF(H645="Sim",VLOOKUP("Minecraft Pass",Parâmetros!$A$11:$B$13,2,0),0)*K645</f>
        <v>0</v>
      </c>
      <c r="O645" s="10">
        <f>IF(I645="Sim",VLOOKUP("Call of Duty Pass",Parâmetros!$A$11:$B$13,2,0),0)*K645</f>
        <v>223.68</v>
      </c>
      <c r="P645" s="10">
        <f>(L645*K645+M645+N645+O645)*IF(F645="Promoção",1-Parâmetros!$B$22,1)</f>
        <v>1663.3600000000001</v>
      </c>
      <c r="Q645" s="10">
        <f>Parâmetros!$B$20*K645</f>
        <v>384</v>
      </c>
      <c r="R645" s="10">
        <f>P645-Q645</f>
        <v>1279.3600000000001</v>
      </c>
    </row>
    <row r="646" spans="1:18">
      <c r="A646">
        <v>645</v>
      </c>
      <c r="B646" s="8">
        <v>45528</v>
      </c>
      <c r="C646" t="s">
        <v>7</v>
      </c>
      <c r="D646" t="s">
        <v>46</v>
      </c>
      <c r="E646" t="s">
        <v>41</v>
      </c>
      <c r="F646" t="s">
        <v>42</v>
      </c>
      <c r="G646" t="s">
        <v>43</v>
      </c>
      <c r="H646" t="s">
        <v>44</v>
      </c>
      <c r="I646" t="s">
        <v>44</v>
      </c>
      <c r="J646" t="s">
        <v>49</v>
      </c>
      <c r="K646" s="9">
        <v>21</v>
      </c>
      <c r="L646" s="10">
        <f>IFERROR(VLOOKUP(C646,Parâmetros!$A$5:$D$7,IF(D646="Mensal",2,IF(D646="Trimestral",3,4)),0),0)</f>
        <v>14.99</v>
      </c>
      <c r="M646" s="10">
        <f>IF(G646="Sim",VLOOKUP("EA Play",Parâmetros!$A$11:$B$13,2,0),0)*K646</f>
        <v>104.79</v>
      </c>
      <c r="N646" s="10">
        <f>IF(H646="Sim",VLOOKUP("Minecraft Pass",Parâmetros!$A$11:$B$13,2,0),0)*K646</f>
        <v>0</v>
      </c>
      <c r="O646" s="10">
        <f>IF(I646="Sim",VLOOKUP("Call of Duty Pass",Parâmetros!$A$11:$B$13,2,0),0)*K646</f>
        <v>0</v>
      </c>
      <c r="P646" s="10">
        <f>(L646*K646+M646+N646+O646)*IF(F646="Promoção",1-Parâmetros!$B$22,1)</f>
        <v>419.58000000000004</v>
      </c>
      <c r="Q646" s="10">
        <f>Parâmetros!$B$20*K646</f>
        <v>252</v>
      </c>
      <c r="R646" s="10">
        <f>P646-Q646</f>
        <v>167.58000000000004</v>
      </c>
    </row>
    <row r="647" spans="1:18">
      <c r="A647">
        <v>646</v>
      </c>
      <c r="B647" s="8">
        <v>45448</v>
      </c>
      <c r="C647" t="s">
        <v>6</v>
      </c>
      <c r="D647" t="s">
        <v>40</v>
      </c>
      <c r="E647" t="s">
        <v>51</v>
      </c>
      <c r="F647" t="s">
        <v>52</v>
      </c>
      <c r="G647" t="s">
        <v>44</v>
      </c>
      <c r="H647" t="s">
        <v>44</v>
      </c>
      <c r="I647" t="s">
        <v>44</v>
      </c>
      <c r="J647" t="s">
        <v>49</v>
      </c>
      <c r="K647" s="9">
        <v>32</v>
      </c>
      <c r="L647" s="10">
        <f>IFERROR(VLOOKUP(C647,Parâmetros!$A$5:$D$7,IF(D647="Mensal",2,IF(D647="Trimestral",3,4)),0),0)</f>
        <v>27</v>
      </c>
      <c r="M647" s="10">
        <f>IF(G647="Sim",VLOOKUP("EA Play",Parâmetros!$A$11:$B$13,2,0),0)*K647</f>
        <v>0</v>
      </c>
      <c r="N647" s="10">
        <f>IF(H647="Sim",VLOOKUP("Minecraft Pass",Parâmetros!$A$11:$B$13,2,0),0)*K647</f>
        <v>0</v>
      </c>
      <c r="O647" s="10">
        <f>IF(I647="Sim",VLOOKUP("Call of Duty Pass",Parâmetros!$A$11:$B$13,2,0),0)*K647</f>
        <v>0</v>
      </c>
      <c r="P647" s="10">
        <f>(L647*K647+M647+N647+O647)*IF(F647="Promoção",1-Parâmetros!$B$22,1)</f>
        <v>864</v>
      </c>
      <c r="Q647" s="10">
        <f>Parâmetros!$B$20*K647</f>
        <v>384</v>
      </c>
      <c r="R647" s="10">
        <f>P647-Q647</f>
        <v>480</v>
      </c>
    </row>
    <row r="648" spans="1:18">
      <c r="A648">
        <v>647</v>
      </c>
      <c r="B648" s="8">
        <v>45794</v>
      </c>
      <c r="C648" t="s">
        <v>7</v>
      </c>
      <c r="D648" t="s">
        <v>40</v>
      </c>
      <c r="E648" t="s">
        <v>51</v>
      </c>
      <c r="F648" t="s">
        <v>48</v>
      </c>
      <c r="G648" t="s">
        <v>43</v>
      </c>
      <c r="H648" t="s">
        <v>44</v>
      </c>
      <c r="I648" t="s">
        <v>44</v>
      </c>
      <c r="J648" t="s">
        <v>45</v>
      </c>
      <c r="K648" s="9">
        <v>8</v>
      </c>
      <c r="L648" s="10">
        <f>IFERROR(VLOOKUP(C648,Parâmetros!$A$5:$D$7,IF(D648="Mensal",2,IF(D648="Trimestral",3,4)),0),0)</f>
        <v>40</v>
      </c>
      <c r="M648" s="10">
        <f>IF(G648="Sim",VLOOKUP("EA Play",Parâmetros!$A$11:$B$13,2,0),0)*K648</f>
        <v>39.92</v>
      </c>
      <c r="N648" s="10">
        <f>IF(H648="Sim",VLOOKUP("Minecraft Pass",Parâmetros!$A$11:$B$13,2,0),0)*K648</f>
        <v>0</v>
      </c>
      <c r="O648" s="10">
        <f>IF(I648="Sim",VLOOKUP("Call of Duty Pass",Parâmetros!$A$11:$B$13,2,0),0)*K648</f>
        <v>0</v>
      </c>
      <c r="P648" s="10">
        <f>(L648*K648+M648+N648+O648)*IF(F648="Promoção",1-Parâmetros!$B$22,1)</f>
        <v>359.92</v>
      </c>
      <c r="Q648" s="10">
        <f>Parâmetros!$B$20*K648</f>
        <v>96</v>
      </c>
      <c r="R648" s="10">
        <f>P648-Q648</f>
        <v>263.92</v>
      </c>
    </row>
    <row r="649" spans="1:18">
      <c r="A649">
        <v>648</v>
      </c>
      <c r="B649" s="8">
        <v>45684</v>
      </c>
      <c r="C649" t="s">
        <v>7</v>
      </c>
      <c r="D649" t="s">
        <v>50</v>
      </c>
      <c r="E649" t="s">
        <v>47</v>
      </c>
      <c r="F649" t="s">
        <v>42</v>
      </c>
      <c r="G649" t="s">
        <v>43</v>
      </c>
      <c r="H649" t="s">
        <v>44</v>
      </c>
      <c r="I649" t="s">
        <v>44</v>
      </c>
      <c r="J649" t="s">
        <v>45</v>
      </c>
      <c r="K649" s="9">
        <v>11</v>
      </c>
      <c r="L649" s="10">
        <f>IFERROR(VLOOKUP(C649,Parâmetros!$A$5:$D$7,IF(D649="Mensal",2,IF(D649="Trimestral",3,4)),0),0)</f>
        <v>149</v>
      </c>
      <c r="M649" s="10">
        <f>IF(G649="Sim",VLOOKUP("EA Play",Parâmetros!$A$11:$B$13,2,0),0)*K649</f>
        <v>54.89</v>
      </c>
      <c r="N649" s="10">
        <f>IF(H649="Sim",VLOOKUP("Minecraft Pass",Parâmetros!$A$11:$B$13,2,0),0)*K649</f>
        <v>0</v>
      </c>
      <c r="O649" s="10">
        <f>IF(I649="Sim",VLOOKUP("Call of Duty Pass",Parâmetros!$A$11:$B$13,2,0),0)*K649</f>
        <v>0</v>
      </c>
      <c r="P649" s="10">
        <f>(L649*K649+M649+N649+O649)*IF(F649="Promoção",1-Parâmetros!$B$22,1)</f>
        <v>1693.89</v>
      </c>
      <c r="Q649" s="10">
        <f>Parâmetros!$B$20*K649</f>
        <v>132</v>
      </c>
      <c r="R649" s="10">
        <f>P649-Q649</f>
        <v>1561.89</v>
      </c>
    </row>
    <row r="650" spans="1:18">
      <c r="A650">
        <v>649</v>
      </c>
      <c r="B650" s="8">
        <v>45795</v>
      </c>
      <c r="C650" t="s">
        <v>7</v>
      </c>
      <c r="D650" t="s">
        <v>46</v>
      </c>
      <c r="E650" t="s">
        <v>41</v>
      </c>
      <c r="F650" t="s">
        <v>52</v>
      </c>
      <c r="G650" t="s">
        <v>44</v>
      </c>
      <c r="H650" t="s">
        <v>44</v>
      </c>
      <c r="I650" t="s">
        <v>44</v>
      </c>
      <c r="J650" t="s">
        <v>49</v>
      </c>
      <c r="K650" s="9">
        <v>31</v>
      </c>
      <c r="L650" s="10">
        <f>IFERROR(VLOOKUP(C650,Parâmetros!$A$5:$D$7,IF(D650="Mensal",2,IF(D650="Trimestral",3,4)),0),0)</f>
        <v>14.99</v>
      </c>
      <c r="M650" s="10">
        <f>IF(G650="Sim",VLOOKUP("EA Play",Parâmetros!$A$11:$B$13,2,0),0)*K650</f>
        <v>0</v>
      </c>
      <c r="N650" s="10">
        <f>IF(H650="Sim",VLOOKUP("Minecraft Pass",Parâmetros!$A$11:$B$13,2,0),0)*K650</f>
        <v>0</v>
      </c>
      <c r="O650" s="10">
        <f>IF(I650="Sim",VLOOKUP("Call of Duty Pass",Parâmetros!$A$11:$B$13,2,0),0)*K650</f>
        <v>0</v>
      </c>
      <c r="P650" s="10">
        <f>(L650*K650+M650+N650+O650)*IF(F650="Promoção",1-Parâmetros!$B$22,1)</f>
        <v>464.69</v>
      </c>
      <c r="Q650" s="10">
        <f>Parâmetros!$B$20*K650</f>
        <v>372</v>
      </c>
      <c r="R650" s="10">
        <f>P650-Q650</f>
        <v>92.69</v>
      </c>
    </row>
    <row r="651" spans="1:18">
      <c r="A651">
        <v>650</v>
      </c>
      <c r="B651" s="8">
        <v>45779</v>
      </c>
      <c r="C651" t="s">
        <v>7</v>
      </c>
      <c r="D651" t="s">
        <v>46</v>
      </c>
      <c r="E651" t="s">
        <v>41</v>
      </c>
      <c r="F651" t="s">
        <v>42</v>
      </c>
      <c r="G651" t="s">
        <v>44</v>
      </c>
      <c r="H651" t="s">
        <v>43</v>
      </c>
      <c r="I651" t="s">
        <v>44</v>
      </c>
      <c r="J651" t="s">
        <v>45</v>
      </c>
      <c r="K651" s="9">
        <v>19</v>
      </c>
      <c r="L651" s="10">
        <f>IFERROR(VLOOKUP(C651,Parâmetros!$A$5:$D$7,IF(D651="Mensal",2,IF(D651="Trimestral",3,4)),0),0)</f>
        <v>14.99</v>
      </c>
      <c r="M651" s="10">
        <f>IF(G651="Sim",VLOOKUP("EA Play",Parâmetros!$A$11:$B$13,2,0),0)*K651</f>
        <v>0</v>
      </c>
      <c r="N651" s="10">
        <f>IF(H651="Sim",VLOOKUP("Minecraft Pass",Parâmetros!$A$11:$B$13,2,0),0)*K651</f>
        <v>75.81</v>
      </c>
      <c r="O651" s="10">
        <f>IF(I651="Sim",VLOOKUP("Call of Duty Pass",Parâmetros!$A$11:$B$13,2,0),0)*K651</f>
        <v>0</v>
      </c>
      <c r="P651" s="10">
        <f>(L651*K651+M651+N651+O651)*IF(F651="Promoção",1-Parâmetros!$B$22,1)</f>
        <v>360.62</v>
      </c>
      <c r="Q651" s="10">
        <f>Parâmetros!$B$20*K651</f>
        <v>228</v>
      </c>
      <c r="R651" s="10">
        <f>P651-Q651</f>
        <v>132.62</v>
      </c>
    </row>
    <row r="652" spans="1:18">
      <c r="A652">
        <v>651</v>
      </c>
      <c r="B652" s="8">
        <v>45620</v>
      </c>
      <c r="C652" t="s">
        <v>6</v>
      </c>
      <c r="D652" t="s">
        <v>40</v>
      </c>
      <c r="E652" t="s">
        <v>41</v>
      </c>
      <c r="F652" t="s">
        <v>42</v>
      </c>
      <c r="G652" t="s">
        <v>44</v>
      </c>
      <c r="H652" t="s">
        <v>44</v>
      </c>
      <c r="I652" t="s">
        <v>44</v>
      </c>
      <c r="J652" t="s">
        <v>45</v>
      </c>
      <c r="K652" s="9">
        <v>25</v>
      </c>
      <c r="L652" s="10">
        <f>IFERROR(VLOOKUP(C652,Parâmetros!$A$5:$D$7,IF(D652="Mensal",2,IF(D652="Trimestral",3,4)),0),0)</f>
        <v>27</v>
      </c>
      <c r="M652" s="10">
        <f>IF(G652="Sim",VLOOKUP("EA Play",Parâmetros!$A$11:$B$13,2,0),0)*K652</f>
        <v>0</v>
      </c>
      <c r="N652" s="10">
        <f>IF(H652="Sim",VLOOKUP("Minecraft Pass",Parâmetros!$A$11:$B$13,2,0),0)*K652</f>
        <v>0</v>
      </c>
      <c r="O652" s="10">
        <f>IF(I652="Sim",VLOOKUP("Call of Duty Pass",Parâmetros!$A$11:$B$13,2,0),0)*K652</f>
        <v>0</v>
      </c>
      <c r="P652" s="10">
        <f>(L652*K652+M652+N652+O652)*IF(F652="Promoção",1-Parâmetros!$B$22,1)</f>
        <v>675</v>
      </c>
      <c r="Q652" s="10">
        <f>Parâmetros!$B$20*K652</f>
        <v>300</v>
      </c>
      <c r="R652" s="10">
        <f>P652-Q652</f>
        <v>375</v>
      </c>
    </row>
    <row r="653" spans="1:18">
      <c r="A653">
        <v>652</v>
      </c>
      <c r="B653" s="8">
        <v>45391</v>
      </c>
      <c r="C653" t="s">
        <v>7</v>
      </c>
      <c r="D653" t="s">
        <v>50</v>
      </c>
      <c r="E653" t="s">
        <v>41</v>
      </c>
      <c r="F653" t="s">
        <v>42</v>
      </c>
      <c r="G653" t="s">
        <v>43</v>
      </c>
      <c r="H653" t="s">
        <v>43</v>
      </c>
      <c r="I653" t="s">
        <v>44</v>
      </c>
      <c r="J653" t="s">
        <v>49</v>
      </c>
      <c r="K653" s="9">
        <v>5</v>
      </c>
      <c r="L653" s="10">
        <f>IFERROR(VLOOKUP(C653,Parâmetros!$A$5:$D$7,IF(D653="Mensal",2,IF(D653="Trimestral",3,4)),0),0)</f>
        <v>149</v>
      </c>
      <c r="M653" s="10">
        <f>IF(G653="Sim",VLOOKUP("EA Play",Parâmetros!$A$11:$B$13,2,0),0)*K653</f>
        <v>24.950000000000003</v>
      </c>
      <c r="N653" s="10">
        <f>IF(H653="Sim",VLOOKUP("Minecraft Pass",Parâmetros!$A$11:$B$13,2,0),0)*K653</f>
        <v>19.950000000000003</v>
      </c>
      <c r="O653" s="10">
        <f>IF(I653="Sim",VLOOKUP("Call of Duty Pass",Parâmetros!$A$11:$B$13,2,0),0)*K653</f>
        <v>0</v>
      </c>
      <c r="P653" s="10">
        <f>(L653*K653+M653+N653+O653)*IF(F653="Promoção",1-Parâmetros!$B$22,1)</f>
        <v>789.90000000000009</v>
      </c>
      <c r="Q653" s="10">
        <f>Parâmetros!$B$20*K653</f>
        <v>60</v>
      </c>
      <c r="R653" s="10">
        <f>P653-Q653</f>
        <v>729.90000000000009</v>
      </c>
    </row>
    <row r="654" spans="1:18">
      <c r="A654">
        <v>653</v>
      </c>
      <c r="B654" s="8">
        <v>45604</v>
      </c>
      <c r="C654" t="s">
        <v>6</v>
      </c>
      <c r="D654" t="s">
        <v>46</v>
      </c>
      <c r="E654" t="s">
        <v>47</v>
      </c>
      <c r="F654" t="s">
        <v>42</v>
      </c>
      <c r="G654" t="s">
        <v>44</v>
      </c>
      <c r="H654" t="s">
        <v>44</v>
      </c>
      <c r="I654" t="s">
        <v>44</v>
      </c>
      <c r="J654" t="s">
        <v>49</v>
      </c>
      <c r="K654" s="9">
        <v>2</v>
      </c>
      <c r="L654" s="10">
        <f>IFERROR(VLOOKUP(C654,Parâmetros!$A$5:$D$7,IF(D654="Mensal",2,IF(D654="Trimestral",3,4)),0),0)</f>
        <v>9.99</v>
      </c>
      <c r="M654" s="10">
        <f>IF(G654="Sim",VLOOKUP("EA Play",Parâmetros!$A$11:$B$13,2,0),0)*K654</f>
        <v>0</v>
      </c>
      <c r="N654" s="10">
        <f>IF(H654="Sim",VLOOKUP("Minecraft Pass",Parâmetros!$A$11:$B$13,2,0),0)*K654</f>
        <v>0</v>
      </c>
      <c r="O654" s="10">
        <f>IF(I654="Sim",VLOOKUP("Call of Duty Pass",Parâmetros!$A$11:$B$13,2,0),0)*K654</f>
        <v>0</v>
      </c>
      <c r="P654" s="10">
        <f>(L654*K654+M654+N654+O654)*IF(F654="Promoção",1-Parâmetros!$B$22,1)</f>
        <v>19.98</v>
      </c>
      <c r="Q654" s="10">
        <f>Parâmetros!$B$20*K654</f>
        <v>24</v>
      </c>
      <c r="R654" s="10">
        <f>P654-Q654</f>
        <v>-4.0199999999999996</v>
      </c>
    </row>
    <row r="655" spans="1:18">
      <c r="A655">
        <v>654</v>
      </c>
      <c r="B655" s="8">
        <v>46004</v>
      </c>
      <c r="C655" t="s">
        <v>7</v>
      </c>
      <c r="D655" t="s">
        <v>46</v>
      </c>
      <c r="E655" t="s">
        <v>41</v>
      </c>
      <c r="F655" t="s">
        <v>48</v>
      </c>
      <c r="G655" t="s">
        <v>43</v>
      </c>
      <c r="H655" t="s">
        <v>43</v>
      </c>
      <c r="I655" t="s">
        <v>44</v>
      </c>
      <c r="J655" t="s">
        <v>45</v>
      </c>
      <c r="K655" s="9">
        <v>14</v>
      </c>
      <c r="L655" s="10">
        <f>IFERROR(VLOOKUP(C655,Parâmetros!$A$5:$D$7,IF(D655="Mensal",2,IF(D655="Trimestral",3,4)),0),0)</f>
        <v>14.99</v>
      </c>
      <c r="M655" s="10">
        <f>IF(G655="Sim",VLOOKUP("EA Play",Parâmetros!$A$11:$B$13,2,0),0)*K655</f>
        <v>69.86</v>
      </c>
      <c r="N655" s="10">
        <f>IF(H655="Sim",VLOOKUP("Minecraft Pass",Parâmetros!$A$11:$B$13,2,0),0)*K655</f>
        <v>55.86</v>
      </c>
      <c r="O655" s="10">
        <f>IF(I655="Sim",VLOOKUP("Call of Duty Pass",Parâmetros!$A$11:$B$13,2,0),0)*K655</f>
        <v>0</v>
      </c>
      <c r="P655" s="10">
        <f>(L655*K655+M655+N655+O655)*IF(F655="Promoção",1-Parâmetros!$B$22,1)</f>
        <v>335.58000000000004</v>
      </c>
      <c r="Q655" s="10">
        <f>Parâmetros!$B$20*K655</f>
        <v>168</v>
      </c>
      <c r="R655" s="10">
        <f>P655-Q655</f>
        <v>167.58000000000004</v>
      </c>
    </row>
    <row r="656" spans="1:18">
      <c r="A656">
        <v>655</v>
      </c>
      <c r="B656" s="8">
        <v>45636</v>
      </c>
      <c r="C656" t="s">
        <v>7</v>
      </c>
      <c r="D656" t="s">
        <v>50</v>
      </c>
      <c r="E656" t="s">
        <v>51</v>
      </c>
      <c r="F656" t="s">
        <v>42</v>
      </c>
      <c r="G656" t="s">
        <v>43</v>
      </c>
      <c r="H656" t="s">
        <v>44</v>
      </c>
      <c r="I656" t="s">
        <v>43</v>
      </c>
      <c r="J656" t="s">
        <v>45</v>
      </c>
      <c r="K656" s="9">
        <v>5</v>
      </c>
      <c r="L656" s="10">
        <f>IFERROR(VLOOKUP(C656,Parâmetros!$A$5:$D$7,IF(D656="Mensal",2,IF(D656="Trimestral",3,4)),0),0)</f>
        <v>149</v>
      </c>
      <c r="M656" s="10">
        <f>IF(G656="Sim",VLOOKUP("EA Play",Parâmetros!$A$11:$B$13,2,0),0)*K656</f>
        <v>24.950000000000003</v>
      </c>
      <c r="N656" s="10">
        <f>IF(H656="Sim",VLOOKUP("Minecraft Pass",Parâmetros!$A$11:$B$13,2,0),0)*K656</f>
        <v>0</v>
      </c>
      <c r="O656" s="10">
        <f>IF(I656="Sim",VLOOKUP("Call of Duty Pass",Parâmetros!$A$11:$B$13,2,0),0)*K656</f>
        <v>34.950000000000003</v>
      </c>
      <c r="P656" s="10">
        <f>(L656*K656+M656+N656+O656)*IF(F656="Promoção",1-Parâmetros!$B$22,1)</f>
        <v>804.90000000000009</v>
      </c>
      <c r="Q656" s="10">
        <f>Parâmetros!$B$20*K656</f>
        <v>60</v>
      </c>
      <c r="R656" s="10">
        <f>P656-Q656</f>
        <v>744.90000000000009</v>
      </c>
    </row>
    <row r="657" spans="1:18">
      <c r="A657">
        <v>656</v>
      </c>
      <c r="B657" s="8">
        <v>45840</v>
      </c>
      <c r="C657" t="s">
        <v>6</v>
      </c>
      <c r="D657" t="s">
        <v>46</v>
      </c>
      <c r="E657" t="s">
        <v>41</v>
      </c>
      <c r="F657" t="s">
        <v>48</v>
      </c>
      <c r="G657" t="s">
        <v>44</v>
      </c>
      <c r="H657" t="s">
        <v>44</v>
      </c>
      <c r="I657" t="s">
        <v>44</v>
      </c>
      <c r="J657" t="s">
        <v>45</v>
      </c>
      <c r="K657" s="9">
        <v>7</v>
      </c>
      <c r="L657" s="10">
        <f>IFERROR(VLOOKUP(C657,Parâmetros!$A$5:$D$7,IF(D657="Mensal",2,IF(D657="Trimestral",3,4)),0),0)</f>
        <v>9.99</v>
      </c>
      <c r="M657" s="10">
        <f>IF(G657="Sim",VLOOKUP("EA Play",Parâmetros!$A$11:$B$13,2,0),0)*K657</f>
        <v>0</v>
      </c>
      <c r="N657" s="10">
        <f>IF(H657="Sim",VLOOKUP("Minecraft Pass",Parâmetros!$A$11:$B$13,2,0),0)*K657</f>
        <v>0</v>
      </c>
      <c r="O657" s="10">
        <f>IF(I657="Sim",VLOOKUP("Call of Duty Pass",Parâmetros!$A$11:$B$13,2,0),0)*K657</f>
        <v>0</v>
      </c>
      <c r="P657" s="10">
        <f>(L657*K657+M657+N657+O657)*IF(F657="Promoção",1-Parâmetros!$B$22,1)</f>
        <v>69.930000000000007</v>
      </c>
      <c r="Q657" s="10">
        <f>Parâmetros!$B$20*K657</f>
        <v>84</v>
      </c>
      <c r="R657" s="10">
        <f>P657-Q657</f>
        <v>-14.069999999999993</v>
      </c>
    </row>
    <row r="658" spans="1:18">
      <c r="A658">
        <v>657</v>
      </c>
      <c r="B658" s="8">
        <v>45898</v>
      </c>
      <c r="C658" t="s">
        <v>6</v>
      </c>
      <c r="D658" t="s">
        <v>46</v>
      </c>
      <c r="E658" t="s">
        <v>51</v>
      </c>
      <c r="F658" t="s">
        <v>48</v>
      </c>
      <c r="G658" t="s">
        <v>43</v>
      </c>
      <c r="H658" t="s">
        <v>44</v>
      </c>
      <c r="I658" t="s">
        <v>44</v>
      </c>
      <c r="J658" t="s">
        <v>49</v>
      </c>
      <c r="K658" s="9">
        <v>20</v>
      </c>
      <c r="L658" s="10">
        <f>IFERROR(VLOOKUP(C658,Parâmetros!$A$5:$D$7,IF(D658="Mensal",2,IF(D658="Trimestral",3,4)),0),0)</f>
        <v>9.99</v>
      </c>
      <c r="M658" s="10">
        <f>IF(G658="Sim",VLOOKUP("EA Play",Parâmetros!$A$11:$B$13,2,0),0)*K658</f>
        <v>99.800000000000011</v>
      </c>
      <c r="N658" s="10">
        <f>IF(H658="Sim",VLOOKUP("Minecraft Pass",Parâmetros!$A$11:$B$13,2,0),0)*K658</f>
        <v>0</v>
      </c>
      <c r="O658" s="10">
        <f>IF(I658="Sim",VLOOKUP("Call of Duty Pass",Parâmetros!$A$11:$B$13,2,0),0)*K658</f>
        <v>0</v>
      </c>
      <c r="P658" s="10">
        <f>(L658*K658+M658+N658+O658)*IF(F658="Promoção",1-Parâmetros!$B$22,1)</f>
        <v>299.60000000000002</v>
      </c>
      <c r="Q658" s="10">
        <f>Parâmetros!$B$20*K658</f>
        <v>240</v>
      </c>
      <c r="R658" s="10">
        <f>P658-Q658</f>
        <v>59.600000000000023</v>
      </c>
    </row>
    <row r="659" spans="1:18">
      <c r="A659">
        <v>658</v>
      </c>
      <c r="B659" s="8">
        <v>45735</v>
      </c>
      <c r="C659" t="s">
        <v>7</v>
      </c>
      <c r="D659" t="s">
        <v>46</v>
      </c>
      <c r="E659" t="s">
        <v>41</v>
      </c>
      <c r="F659" t="s">
        <v>42</v>
      </c>
      <c r="G659" t="s">
        <v>44</v>
      </c>
      <c r="H659" t="s">
        <v>44</v>
      </c>
      <c r="I659" t="s">
        <v>44</v>
      </c>
      <c r="J659" t="s">
        <v>45</v>
      </c>
      <c r="K659" s="9">
        <v>34</v>
      </c>
      <c r="L659" s="10">
        <f>IFERROR(VLOOKUP(C659,Parâmetros!$A$5:$D$7,IF(D659="Mensal",2,IF(D659="Trimestral",3,4)),0),0)</f>
        <v>14.99</v>
      </c>
      <c r="M659" s="10">
        <f>IF(G659="Sim",VLOOKUP("EA Play",Parâmetros!$A$11:$B$13,2,0),0)*K659</f>
        <v>0</v>
      </c>
      <c r="N659" s="10">
        <f>IF(H659="Sim",VLOOKUP("Minecraft Pass",Parâmetros!$A$11:$B$13,2,0),0)*K659</f>
        <v>0</v>
      </c>
      <c r="O659" s="10">
        <f>IF(I659="Sim",VLOOKUP("Call of Duty Pass",Parâmetros!$A$11:$B$13,2,0),0)*K659</f>
        <v>0</v>
      </c>
      <c r="P659" s="10">
        <f>(L659*K659+M659+N659+O659)*IF(F659="Promoção",1-Parâmetros!$B$22,1)</f>
        <v>509.66</v>
      </c>
      <c r="Q659" s="10">
        <f>Parâmetros!$B$20*K659</f>
        <v>408</v>
      </c>
      <c r="R659" s="10">
        <f>P659-Q659</f>
        <v>101.66000000000003</v>
      </c>
    </row>
    <row r="660" spans="1:18">
      <c r="A660">
        <v>659</v>
      </c>
      <c r="B660" s="8">
        <v>45483</v>
      </c>
      <c r="C660" t="s">
        <v>7</v>
      </c>
      <c r="D660" t="s">
        <v>46</v>
      </c>
      <c r="E660" t="s">
        <v>53</v>
      </c>
      <c r="F660" t="s">
        <v>52</v>
      </c>
      <c r="G660" t="s">
        <v>44</v>
      </c>
      <c r="H660" t="s">
        <v>44</v>
      </c>
      <c r="I660" t="s">
        <v>44</v>
      </c>
      <c r="J660" t="s">
        <v>45</v>
      </c>
      <c r="K660" s="9">
        <v>28</v>
      </c>
      <c r="L660" s="10">
        <f>IFERROR(VLOOKUP(C660,Parâmetros!$A$5:$D$7,IF(D660="Mensal",2,IF(D660="Trimestral",3,4)),0),0)</f>
        <v>14.99</v>
      </c>
      <c r="M660" s="10">
        <f>IF(G660="Sim",VLOOKUP("EA Play",Parâmetros!$A$11:$B$13,2,0),0)*K660</f>
        <v>0</v>
      </c>
      <c r="N660" s="10">
        <f>IF(H660="Sim",VLOOKUP("Minecraft Pass",Parâmetros!$A$11:$B$13,2,0),0)*K660</f>
        <v>0</v>
      </c>
      <c r="O660" s="10">
        <f>IF(I660="Sim",VLOOKUP("Call of Duty Pass",Parâmetros!$A$11:$B$13,2,0),0)*K660</f>
        <v>0</v>
      </c>
      <c r="P660" s="10">
        <f>(L660*K660+M660+N660+O660)*IF(F660="Promoção",1-Parâmetros!$B$22,1)</f>
        <v>419.72</v>
      </c>
      <c r="Q660" s="10">
        <f>Parâmetros!$B$20*K660</f>
        <v>336</v>
      </c>
      <c r="R660" s="10">
        <f>P660-Q660</f>
        <v>83.720000000000027</v>
      </c>
    </row>
    <row r="661" spans="1:18">
      <c r="A661">
        <v>660</v>
      </c>
      <c r="B661" s="8">
        <v>45871</v>
      </c>
      <c r="C661" t="s">
        <v>7</v>
      </c>
      <c r="D661" t="s">
        <v>46</v>
      </c>
      <c r="E661" t="s">
        <v>41</v>
      </c>
      <c r="F661" t="s">
        <v>48</v>
      </c>
      <c r="G661" t="s">
        <v>43</v>
      </c>
      <c r="H661" t="s">
        <v>44</v>
      </c>
      <c r="I661" t="s">
        <v>44</v>
      </c>
      <c r="J661" t="s">
        <v>45</v>
      </c>
      <c r="K661" s="9">
        <v>27</v>
      </c>
      <c r="L661" s="10">
        <f>IFERROR(VLOOKUP(C661,Parâmetros!$A$5:$D$7,IF(D661="Mensal",2,IF(D661="Trimestral",3,4)),0),0)</f>
        <v>14.99</v>
      </c>
      <c r="M661" s="10">
        <f>IF(G661="Sim",VLOOKUP("EA Play",Parâmetros!$A$11:$B$13,2,0),0)*K661</f>
        <v>134.73000000000002</v>
      </c>
      <c r="N661" s="10">
        <f>IF(H661="Sim",VLOOKUP("Minecraft Pass",Parâmetros!$A$11:$B$13,2,0),0)*K661</f>
        <v>0</v>
      </c>
      <c r="O661" s="10">
        <f>IF(I661="Sim",VLOOKUP("Call of Duty Pass",Parâmetros!$A$11:$B$13,2,0),0)*K661</f>
        <v>0</v>
      </c>
      <c r="P661" s="10">
        <f>(L661*K661+M661+N661+O661)*IF(F661="Promoção",1-Parâmetros!$B$22,1)</f>
        <v>539.46</v>
      </c>
      <c r="Q661" s="10">
        <f>Parâmetros!$B$20*K661</f>
        <v>324</v>
      </c>
      <c r="R661" s="10">
        <f>P661-Q661</f>
        <v>215.46000000000004</v>
      </c>
    </row>
    <row r="662" spans="1:18">
      <c r="A662">
        <v>661</v>
      </c>
      <c r="B662" s="8">
        <v>45618</v>
      </c>
      <c r="C662" t="s">
        <v>8</v>
      </c>
      <c r="D662" t="s">
        <v>50</v>
      </c>
      <c r="E662" t="s">
        <v>47</v>
      </c>
      <c r="F662" t="s">
        <v>54</v>
      </c>
      <c r="G662" t="s">
        <v>43</v>
      </c>
      <c r="H662" t="s">
        <v>43</v>
      </c>
      <c r="I662" t="s">
        <v>43</v>
      </c>
      <c r="J662" t="s">
        <v>45</v>
      </c>
      <c r="K662" s="9">
        <v>16</v>
      </c>
      <c r="L662" s="10">
        <f>IFERROR(VLOOKUP(C662,Parâmetros!$A$5:$D$7,IF(D662="Mensal",2,IF(D662="Trimestral",3,4)),0),0)</f>
        <v>219</v>
      </c>
      <c r="M662" s="10">
        <f>IF(G662="Sim",VLOOKUP("EA Play",Parâmetros!$A$11:$B$13,2,0),0)*K662</f>
        <v>79.84</v>
      </c>
      <c r="N662" s="10">
        <f>IF(H662="Sim",VLOOKUP("Minecraft Pass",Parâmetros!$A$11:$B$13,2,0),0)*K662</f>
        <v>63.84</v>
      </c>
      <c r="O662" s="10">
        <f>IF(I662="Sim",VLOOKUP("Call of Duty Pass",Parâmetros!$A$11:$B$13,2,0),0)*K662</f>
        <v>111.84</v>
      </c>
      <c r="P662" s="10">
        <f>(L662*K662+M662+N662+O662)*IF(F662="Promoção",1-Parâmetros!$B$22,1)</f>
        <v>3383.5680000000007</v>
      </c>
      <c r="Q662" s="10">
        <f>Parâmetros!$B$20*K662</f>
        <v>192</v>
      </c>
      <c r="R662" s="10">
        <f>P662-Q662</f>
        <v>3191.5680000000007</v>
      </c>
    </row>
    <row r="663" spans="1:18">
      <c r="A663">
        <v>662</v>
      </c>
      <c r="B663" s="8">
        <v>45707</v>
      </c>
      <c r="C663" t="s">
        <v>6</v>
      </c>
      <c r="D663" t="s">
        <v>46</v>
      </c>
      <c r="E663" t="s">
        <v>41</v>
      </c>
      <c r="F663" t="s">
        <v>52</v>
      </c>
      <c r="G663" t="s">
        <v>43</v>
      </c>
      <c r="H663" t="s">
        <v>44</v>
      </c>
      <c r="I663" t="s">
        <v>44</v>
      </c>
      <c r="J663" t="s">
        <v>49</v>
      </c>
      <c r="K663" s="9">
        <v>3</v>
      </c>
      <c r="L663" s="10">
        <f>IFERROR(VLOOKUP(C663,Parâmetros!$A$5:$D$7,IF(D663="Mensal",2,IF(D663="Trimestral",3,4)),0),0)</f>
        <v>9.99</v>
      </c>
      <c r="M663" s="10">
        <f>IF(G663="Sim",VLOOKUP("EA Play",Parâmetros!$A$11:$B$13,2,0),0)*K663</f>
        <v>14.97</v>
      </c>
      <c r="N663" s="10">
        <f>IF(H663="Sim",VLOOKUP("Minecraft Pass",Parâmetros!$A$11:$B$13,2,0),0)*K663</f>
        <v>0</v>
      </c>
      <c r="O663" s="10">
        <f>IF(I663="Sim",VLOOKUP("Call of Duty Pass",Parâmetros!$A$11:$B$13,2,0),0)*K663</f>
        <v>0</v>
      </c>
      <c r="P663" s="10">
        <f>(L663*K663+M663+N663+O663)*IF(F663="Promoção",1-Parâmetros!$B$22,1)</f>
        <v>44.94</v>
      </c>
      <c r="Q663" s="10">
        <f>Parâmetros!$B$20*K663</f>
        <v>36</v>
      </c>
      <c r="R663" s="10">
        <f>P663-Q663</f>
        <v>8.9399999999999977</v>
      </c>
    </row>
    <row r="664" spans="1:18">
      <c r="A664">
        <v>663</v>
      </c>
      <c r="B664" s="8">
        <v>45498</v>
      </c>
      <c r="C664" t="s">
        <v>6</v>
      </c>
      <c r="D664" t="s">
        <v>46</v>
      </c>
      <c r="E664" t="s">
        <v>41</v>
      </c>
      <c r="F664" t="s">
        <v>54</v>
      </c>
      <c r="G664" t="s">
        <v>44</v>
      </c>
      <c r="H664" t="s">
        <v>43</v>
      </c>
      <c r="I664" t="s">
        <v>44</v>
      </c>
      <c r="J664" t="s">
        <v>45</v>
      </c>
      <c r="K664" s="9">
        <v>32</v>
      </c>
      <c r="L664" s="10">
        <f>IFERROR(VLOOKUP(C664,Parâmetros!$A$5:$D$7,IF(D664="Mensal",2,IF(D664="Trimestral",3,4)),0),0)</f>
        <v>9.99</v>
      </c>
      <c r="M664" s="10">
        <f>IF(G664="Sim",VLOOKUP("EA Play",Parâmetros!$A$11:$B$13,2,0),0)*K664</f>
        <v>0</v>
      </c>
      <c r="N664" s="10">
        <f>IF(H664="Sim",VLOOKUP("Minecraft Pass",Parâmetros!$A$11:$B$13,2,0),0)*K664</f>
        <v>127.68</v>
      </c>
      <c r="O664" s="10">
        <f>IF(I664="Sim",VLOOKUP("Call of Duty Pass",Parâmetros!$A$11:$B$13,2,0),0)*K664</f>
        <v>0</v>
      </c>
      <c r="P664" s="10">
        <f>(L664*K664+M664+N664+O664)*IF(F664="Promoção",1-Parâmetros!$B$22,1)</f>
        <v>402.62400000000002</v>
      </c>
      <c r="Q664" s="10">
        <f>Parâmetros!$B$20*K664</f>
        <v>384</v>
      </c>
      <c r="R664" s="10">
        <f>P664-Q664</f>
        <v>18.624000000000024</v>
      </c>
    </row>
    <row r="665" spans="1:18">
      <c r="A665">
        <v>664</v>
      </c>
      <c r="B665" s="8">
        <v>45312</v>
      </c>
      <c r="C665" t="s">
        <v>6</v>
      </c>
      <c r="D665" t="s">
        <v>50</v>
      </c>
      <c r="E665" t="s">
        <v>41</v>
      </c>
      <c r="F665" t="s">
        <v>42</v>
      </c>
      <c r="G665" t="s">
        <v>43</v>
      </c>
      <c r="H665" t="s">
        <v>44</v>
      </c>
      <c r="I665" t="s">
        <v>44</v>
      </c>
      <c r="J665" t="s">
        <v>45</v>
      </c>
      <c r="K665" s="9">
        <v>6</v>
      </c>
      <c r="L665" s="10">
        <f>IFERROR(VLOOKUP(C665,Parâmetros!$A$5:$D$7,IF(D665="Mensal",2,IF(D665="Trimestral",3,4)),0),0)</f>
        <v>99</v>
      </c>
      <c r="M665" s="10">
        <f>IF(G665="Sim",VLOOKUP("EA Play",Parâmetros!$A$11:$B$13,2,0),0)*K665</f>
        <v>29.94</v>
      </c>
      <c r="N665" s="10">
        <f>IF(H665="Sim",VLOOKUP("Minecraft Pass",Parâmetros!$A$11:$B$13,2,0),0)*K665</f>
        <v>0</v>
      </c>
      <c r="O665" s="10">
        <f>IF(I665="Sim",VLOOKUP("Call of Duty Pass",Parâmetros!$A$11:$B$13,2,0),0)*K665</f>
        <v>0</v>
      </c>
      <c r="P665" s="10">
        <f>(L665*K665+M665+N665+O665)*IF(F665="Promoção",1-Parâmetros!$B$22,1)</f>
        <v>623.94000000000005</v>
      </c>
      <c r="Q665" s="10">
        <f>Parâmetros!$B$20*K665</f>
        <v>72</v>
      </c>
      <c r="R665" s="10">
        <f>P665-Q665</f>
        <v>551.94000000000005</v>
      </c>
    </row>
    <row r="666" spans="1:18">
      <c r="A666">
        <v>665</v>
      </c>
      <c r="B666" s="8">
        <v>45698</v>
      </c>
      <c r="C666" t="s">
        <v>8</v>
      </c>
      <c r="D666" t="s">
        <v>40</v>
      </c>
      <c r="E666" t="s">
        <v>41</v>
      </c>
      <c r="F666" t="s">
        <v>42</v>
      </c>
      <c r="G666" t="s">
        <v>44</v>
      </c>
      <c r="H666" t="s">
        <v>44</v>
      </c>
      <c r="I666" t="s">
        <v>44</v>
      </c>
      <c r="J666" t="s">
        <v>45</v>
      </c>
      <c r="K666" s="9">
        <v>34</v>
      </c>
      <c r="L666" s="10">
        <f>IFERROR(VLOOKUP(C666,Parâmetros!$A$5:$D$7,IF(D666="Mensal",2,IF(D666="Trimestral",3,4)),0),0)</f>
        <v>59</v>
      </c>
      <c r="M666" s="10">
        <f>IF(G666="Sim",VLOOKUP("EA Play",Parâmetros!$A$11:$B$13,2,0),0)*K666</f>
        <v>0</v>
      </c>
      <c r="N666" s="10">
        <f>IF(H666="Sim",VLOOKUP("Minecraft Pass",Parâmetros!$A$11:$B$13,2,0),0)*K666</f>
        <v>0</v>
      </c>
      <c r="O666" s="10">
        <f>IF(I666="Sim",VLOOKUP("Call of Duty Pass",Parâmetros!$A$11:$B$13,2,0),0)*K666</f>
        <v>0</v>
      </c>
      <c r="P666" s="10">
        <f>(L666*K666+M666+N666+O666)*IF(F666="Promoção",1-Parâmetros!$B$22,1)</f>
        <v>2006</v>
      </c>
      <c r="Q666" s="10">
        <f>Parâmetros!$B$20*K666</f>
        <v>408</v>
      </c>
      <c r="R666" s="10">
        <f>P666-Q666</f>
        <v>1598</v>
      </c>
    </row>
    <row r="667" spans="1:18">
      <c r="A667">
        <v>666</v>
      </c>
      <c r="B667" s="8">
        <v>45549</v>
      </c>
      <c r="C667" t="s">
        <v>7</v>
      </c>
      <c r="D667" t="s">
        <v>46</v>
      </c>
      <c r="E667" t="s">
        <v>47</v>
      </c>
      <c r="F667" t="s">
        <v>52</v>
      </c>
      <c r="G667" t="s">
        <v>43</v>
      </c>
      <c r="H667" t="s">
        <v>44</v>
      </c>
      <c r="I667" t="s">
        <v>44</v>
      </c>
      <c r="J667" t="s">
        <v>45</v>
      </c>
      <c r="K667" s="9">
        <v>16</v>
      </c>
      <c r="L667" s="10">
        <f>IFERROR(VLOOKUP(C667,Parâmetros!$A$5:$D$7,IF(D667="Mensal",2,IF(D667="Trimestral",3,4)),0),0)</f>
        <v>14.99</v>
      </c>
      <c r="M667" s="10">
        <f>IF(G667="Sim",VLOOKUP("EA Play",Parâmetros!$A$11:$B$13,2,0),0)*K667</f>
        <v>79.84</v>
      </c>
      <c r="N667" s="10">
        <f>IF(H667="Sim",VLOOKUP("Minecraft Pass",Parâmetros!$A$11:$B$13,2,0),0)*K667</f>
        <v>0</v>
      </c>
      <c r="O667" s="10">
        <f>IF(I667="Sim",VLOOKUP("Call of Duty Pass",Parâmetros!$A$11:$B$13,2,0),0)*K667</f>
        <v>0</v>
      </c>
      <c r="P667" s="10">
        <f>(L667*K667+M667+N667+O667)*IF(F667="Promoção",1-Parâmetros!$B$22,1)</f>
        <v>319.68</v>
      </c>
      <c r="Q667" s="10">
        <f>Parâmetros!$B$20*K667</f>
        <v>192</v>
      </c>
      <c r="R667" s="10">
        <f>P667-Q667</f>
        <v>127.68</v>
      </c>
    </row>
    <row r="668" spans="1:18">
      <c r="A668">
        <v>667</v>
      </c>
      <c r="B668" s="8">
        <v>45725</v>
      </c>
      <c r="C668" t="s">
        <v>6</v>
      </c>
      <c r="D668" t="s">
        <v>46</v>
      </c>
      <c r="E668" t="s">
        <v>41</v>
      </c>
      <c r="F668" t="s">
        <v>42</v>
      </c>
      <c r="G668" t="s">
        <v>43</v>
      </c>
      <c r="H668" t="s">
        <v>44</v>
      </c>
      <c r="I668" t="s">
        <v>43</v>
      </c>
      <c r="J668" t="s">
        <v>49</v>
      </c>
      <c r="K668" s="9">
        <v>8</v>
      </c>
      <c r="L668" s="10">
        <f>IFERROR(VLOOKUP(C668,Parâmetros!$A$5:$D$7,IF(D668="Mensal",2,IF(D668="Trimestral",3,4)),0),0)</f>
        <v>9.99</v>
      </c>
      <c r="M668" s="10">
        <f>IF(G668="Sim",VLOOKUP("EA Play",Parâmetros!$A$11:$B$13,2,0),0)*K668</f>
        <v>39.92</v>
      </c>
      <c r="N668" s="10">
        <f>IF(H668="Sim",VLOOKUP("Minecraft Pass",Parâmetros!$A$11:$B$13,2,0),0)*K668</f>
        <v>0</v>
      </c>
      <c r="O668" s="10">
        <f>IF(I668="Sim",VLOOKUP("Call of Duty Pass",Parâmetros!$A$11:$B$13,2,0),0)*K668</f>
        <v>55.92</v>
      </c>
      <c r="P668" s="10">
        <f>(L668*K668+M668+N668+O668)*IF(F668="Promoção",1-Parâmetros!$B$22,1)</f>
        <v>175.76</v>
      </c>
      <c r="Q668" s="10">
        <f>Parâmetros!$B$20*K668</f>
        <v>96</v>
      </c>
      <c r="R668" s="10">
        <f>P668-Q668</f>
        <v>79.759999999999991</v>
      </c>
    </row>
    <row r="669" spans="1:18">
      <c r="A669">
        <v>668</v>
      </c>
      <c r="B669" s="8">
        <v>45616</v>
      </c>
      <c r="C669" t="s">
        <v>7</v>
      </c>
      <c r="D669" t="s">
        <v>46</v>
      </c>
      <c r="E669" t="s">
        <v>41</v>
      </c>
      <c r="F669" t="s">
        <v>42</v>
      </c>
      <c r="G669" t="s">
        <v>44</v>
      </c>
      <c r="H669" t="s">
        <v>43</v>
      </c>
      <c r="I669" t="s">
        <v>44</v>
      </c>
      <c r="J669" t="s">
        <v>49</v>
      </c>
      <c r="K669" s="9">
        <v>20</v>
      </c>
      <c r="L669" s="10">
        <f>IFERROR(VLOOKUP(C669,Parâmetros!$A$5:$D$7,IF(D669="Mensal",2,IF(D669="Trimestral",3,4)),0),0)</f>
        <v>14.99</v>
      </c>
      <c r="M669" s="10">
        <f>IF(G669="Sim",VLOOKUP("EA Play",Parâmetros!$A$11:$B$13,2,0),0)*K669</f>
        <v>0</v>
      </c>
      <c r="N669" s="10">
        <f>IF(H669="Sim",VLOOKUP("Minecraft Pass",Parâmetros!$A$11:$B$13,2,0),0)*K669</f>
        <v>79.800000000000011</v>
      </c>
      <c r="O669" s="10">
        <f>IF(I669="Sim",VLOOKUP("Call of Duty Pass",Parâmetros!$A$11:$B$13,2,0),0)*K669</f>
        <v>0</v>
      </c>
      <c r="P669" s="10">
        <f>(L669*K669+M669+N669+O669)*IF(F669="Promoção",1-Parâmetros!$B$22,1)</f>
        <v>379.6</v>
      </c>
      <c r="Q669" s="10">
        <f>Parâmetros!$B$20*K669</f>
        <v>240</v>
      </c>
      <c r="R669" s="10">
        <f>P669-Q669</f>
        <v>139.60000000000002</v>
      </c>
    </row>
    <row r="670" spans="1:18">
      <c r="A670">
        <v>669</v>
      </c>
      <c r="B670" s="8">
        <v>45313</v>
      </c>
      <c r="C670" t="s">
        <v>7</v>
      </c>
      <c r="D670" t="s">
        <v>50</v>
      </c>
      <c r="E670" t="s">
        <v>41</v>
      </c>
      <c r="F670" t="s">
        <v>52</v>
      </c>
      <c r="G670" t="s">
        <v>44</v>
      </c>
      <c r="H670" t="s">
        <v>43</v>
      </c>
      <c r="I670" t="s">
        <v>44</v>
      </c>
      <c r="J670" t="s">
        <v>45</v>
      </c>
      <c r="K670" s="9">
        <v>17</v>
      </c>
      <c r="L670" s="10">
        <f>IFERROR(VLOOKUP(C670,Parâmetros!$A$5:$D$7,IF(D670="Mensal",2,IF(D670="Trimestral",3,4)),0),0)</f>
        <v>149</v>
      </c>
      <c r="M670" s="10">
        <f>IF(G670="Sim",VLOOKUP("EA Play",Parâmetros!$A$11:$B$13,2,0),0)*K670</f>
        <v>0</v>
      </c>
      <c r="N670" s="10">
        <f>IF(H670="Sim",VLOOKUP("Minecraft Pass",Parâmetros!$A$11:$B$13,2,0),0)*K670</f>
        <v>67.83</v>
      </c>
      <c r="O670" s="10">
        <f>IF(I670="Sim",VLOOKUP("Call of Duty Pass",Parâmetros!$A$11:$B$13,2,0),0)*K670</f>
        <v>0</v>
      </c>
      <c r="P670" s="10">
        <f>(L670*K670+M670+N670+O670)*IF(F670="Promoção",1-Parâmetros!$B$22,1)</f>
        <v>2600.83</v>
      </c>
      <c r="Q670" s="10">
        <f>Parâmetros!$B$20*K670</f>
        <v>204</v>
      </c>
      <c r="R670" s="10">
        <f>P670-Q670</f>
        <v>2396.83</v>
      </c>
    </row>
    <row r="671" spans="1:18">
      <c r="A671">
        <v>670</v>
      </c>
      <c r="B671" s="8">
        <v>45857</v>
      </c>
      <c r="C671" t="s">
        <v>6</v>
      </c>
      <c r="D671" t="s">
        <v>40</v>
      </c>
      <c r="E671" t="s">
        <v>51</v>
      </c>
      <c r="F671" t="s">
        <v>54</v>
      </c>
      <c r="G671" t="s">
        <v>44</v>
      </c>
      <c r="H671" t="s">
        <v>44</v>
      </c>
      <c r="I671" t="s">
        <v>43</v>
      </c>
      <c r="J671" t="s">
        <v>49</v>
      </c>
      <c r="K671" s="9">
        <v>1</v>
      </c>
      <c r="L671" s="10">
        <f>IFERROR(VLOOKUP(C671,Parâmetros!$A$5:$D$7,IF(D671="Mensal",2,IF(D671="Trimestral",3,4)),0),0)</f>
        <v>27</v>
      </c>
      <c r="M671" s="10">
        <f>IF(G671="Sim",VLOOKUP("EA Play",Parâmetros!$A$11:$B$13,2,0),0)*K671</f>
        <v>0</v>
      </c>
      <c r="N671" s="10">
        <f>IF(H671="Sim",VLOOKUP("Minecraft Pass",Parâmetros!$A$11:$B$13,2,0),0)*K671</f>
        <v>0</v>
      </c>
      <c r="O671" s="10">
        <f>IF(I671="Sim",VLOOKUP("Call of Duty Pass",Parâmetros!$A$11:$B$13,2,0),0)*K671</f>
        <v>6.99</v>
      </c>
      <c r="P671" s="10">
        <f>(L671*K671+M671+N671+O671)*IF(F671="Promoção",1-Parâmetros!$B$22,1)</f>
        <v>30.591000000000001</v>
      </c>
      <c r="Q671" s="10">
        <f>Parâmetros!$B$20*K671</f>
        <v>12</v>
      </c>
      <c r="R671" s="10">
        <f>P671-Q671</f>
        <v>18.591000000000001</v>
      </c>
    </row>
    <row r="672" spans="1:18">
      <c r="A672">
        <v>671</v>
      </c>
      <c r="B672" s="8">
        <v>45694</v>
      </c>
      <c r="C672" t="s">
        <v>8</v>
      </c>
      <c r="D672" t="s">
        <v>50</v>
      </c>
      <c r="E672" t="s">
        <v>41</v>
      </c>
      <c r="F672" t="s">
        <v>54</v>
      </c>
      <c r="G672" t="s">
        <v>44</v>
      </c>
      <c r="H672" t="s">
        <v>43</v>
      </c>
      <c r="I672" t="s">
        <v>44</v>
      </c>
      <c r="J672" t="s">
        <v>49</v>
      </c>
      <c r="K672" s="9">
        <v>29</v>
      </c>
      <c r="L672" s="10">
        <f>IFERROR(VLOOKUP(C672,Parâmetros!$A$5:$D$7,IF(D672="Mensal",2,IF(D672="Trimestral",3,4)),0),0)</f>
        <v>219</v>
      </c>
      <c r="M672" s="10">
        <f>IF(G672="Sim",VLOOKUP("EA Play",Parâmetros!$A$11:$B$13,2,0),0)*K672</f>
        <v>0</v>
      </c>
      <c r="N672" s="10">
        <f>IF(H672="Sim",VLOOKUP("Minecraft Pass",Parâmetros!$A$11:$B$13,2,0),0)*K672</f>
        <v>115.71000000000001</v>
      </c>
      <c r="O672" s="10">
        <f>IF(I672="Sim",VLOOKUP("Call of Duty Pass",Parâmetros!$A$11:$B$13,2,0),0)*K672</f>
        <v>0</v>
      </c>
      <c r="P672" s="10">
        <f>(L672*K672+M672+N672+O672)*IF(F672="Promoção",1-Parâmetros!$B$22,1)</f>
        <v>5820.0389999999998</v>
      </c>
      <c r="Q672" s="10">
        <f>Parâmetros!$B$20*K672</f>
        <v>348</v>
      </c>
      <c r="R672" s="10">
        <f>P672-Q672</f>
        <v>5472.0389999999998</v>
      </c>
    </row>
    <row r="673" spans="1:18">
      <c r="A673">
        <v>672</v>
      </c>
      <c r="B673" s="8">
        <v>45938</v>
      </c>
      <c r="C673" t="s">
        <v>6</v>
      </c>
      <c r="D673" t="s">
        <v>50</v>
      </c>
      <c r="E673" t="s">
        <v>51</v>
      </c>
      <c r="F673" t="s">
        <v>52</v>
      </c>
      <c r="G673" t="s">
        <v>43</v>
      </c>
      <c r="H673" t="s">
        <v>43</v>
      </c>
      <c r="I673" t="s">
        <v>44</v>
      </c>
      <c r="J673" t="s">
        <v>49</v>
      </c>
      <c r="K673" s="9">
        <v>27</v>
      </c>
      <c r="L673" s="10">
        <f>IFERROR(VLOOKUP(C673,Parâmetros!$A$5:$D$7,IF(D673="Mensal",2,IF(D673="Trimestral",3,4)),0),0)</f>
        <v>99</v>
      </c>
      <c r="M673" s="10">
        <f>IF(G673="Sim",VLOOKUP("EA Play",Parâmetros!$A$11:$B$13,2,0),0)*K673</f>
        <v>134.73000000000002</v>
      </c>
      <c r="N673" s="10">
        <f>IF(H673="Sim",VLOOKUP("Minecraft Pass",Parâmetros!$A$11:$B$13,2,0),0)*K673</f>
        <v>107.73</v>
      </c>
      <c r="O673" s="10">
        <f>IF(I673="Sim",VLOOKUP("Call of Duty Pass",Parâmetros!$A$11:$B$13,2,0),0)*K673</f>
        <v>0</v>
      </c>
      <c r="P673" s="10">
        <f>(L673*K673+M673+N673+O673)*IF(F673="Promoção",1-Parâmetros!$B$22,1)</f>
        <v>2915.46</v>
      </c>
      <c r="Q673" s="10">
        <f>Parâmetros!$B$20*K673</f>
        <v>324</v>
      </c>
      <c r="R673" s="10">
        <f>P673-Q673</f>
        <v>2591.46</v>
      </c>
    </row>
    <row r="674" spans="1:18">
      <c r="A674">
        <v>673</v>
      </c>
      <c r="B674" s="8">
        <v>45632</v>
      </c>
      <c r="C674" t="s">
        <v>7</v>
      </c>
      <c r="D674" t="s">
        <v>50</v>
      </c>
      <c r="E674" t="s">
        <v>51</v>
      </c>
      <c r="F674" t="s">
        <v>54</v>
      </c>
      <c r="G674" t="s">
        <v>44</v>
      </c>
      <c r="H674" t="s">
        <v>44</v>
      </c>
      <c r="I674" t="s">
        <v>44</v>
      </c>
      <c r="J674" t="s">
        <v>45</v>
      </c>
      <c r="K674" s="9">
        <v>21</v>
      </c>
      <c r="L674" s="10">
        <f>IFERROR(VLOOKUP(C674,Parâmetros!$A$5:$D$7,IF(D674="Mensal",2,IF(D674="Trimestral",3,4)),0),0)</f>
        <v>149</v>
      </c>
      <c r="M674" s="10">
        <f>IF(G674="Sim",VLOOKUP("EA Play",Parâmetros!$A$11:$B$13,2,0),0)*K674</f>
        <v>0</v>
      </c>
      <c r="N674" s="10">
        <f>IF(H674="Sim",VLOOKUP("Minecraft Pass",Parâmetros!$A$11:$B$13,2,0),0)*K674</f>
        <v>0</v>
      </c>
      <c r="O674" s="10">
        <f>IF(I674="Sim",VLOOKUP("Call of Duty Pass",Parâmetros!$A$11:$B$13,2,0),0)*K674</f>
        <v>0</v>
      </c>
      <c r="P674" s="10">
        <f>(L674*K674+M674+N674+O674)*IF(F674="Promoção",1-Parâmetros!$B$22,1)</f>
        <v>2816.1</v>
      </c>
      <c r="Q674" s="10">
        <f>Parâmetros!$B$20*K674</f>
        <v>252</v>
      </c>
      <c r="R674" s="10">
        <f>P674-Q674</f>
        <v>2564.1</v>
      </c>
    </row>
    <row r="675" spans="1:18">
      <c r="A675">
        <v>674</v>
      </c>
      <c r="B675" s="8">
        <v>45756</v>
      </c>
      <c r="C675" t="s">
        <v>7</v>
      </c>
      <c r="D675" t="s">
        <v>40</v>
      </c>
      <c r="E675" t="s">
        <v>51</v>
      </c>
      <c r="F675" t="s">
        <v>42</v>
      </c>
      <c r="G675" t="s">
        <v>43</v>
      </c>
      <c r="H675" t="s">
        <v>44</v>
      </c>
      <c r="I675" t="s">
        <v>43</v>
      </c>
      <c r="J675" t="s">
        <v>49</v>
      </c>
      <c r="K675" s="9">
        <v>20</v>
      </c>
      <c r="L675" s="10">
        <f>IFERROR(VLOOKUP(C675,Parâmetros!$A$5:$D$7,IF(D675="Mensal",2,IF(D675="Trimestral",3,4)),0),0)</f>
        <v>40</v>
      </c>
      <c r="M675" s="10">
        <f>IF(G675="Sim",VLOOKUP("EA Play",Parâmetros!$A$11:$B$13,2,0),0)*K675</f>
        <v>99.800000000000011</v>
      </c>
      <c r="N675" s="10">
        <f>IF(H675="Sim",VLOOKUP("Minecraft Pass",Parâmetros!$A$11:$B$13,2,0),0)*K675</f>
        <v>0</v>
      </c>
      <c r="O675" s="10">
        <f>IF(I675="Sim",VLOOKUP("Call of Duty Pass",Parâmetros!$A$11:$B$13,2,0),0)*K675</f>
        <v>139.80000000000001</v>
      </c>
      <c r="P675" s="10">
        <f>(L675*K675+M675+N675+O675)*IF(F675="Promoção",1-Parâmetros!$B$22,1)</f>
        <v>1039.5999999999999</v>
      </c>
      <c r="Q675" s="10">
        <f>Parâmetros!$B$20*K675</f>
        <v>240</v>
      </c>
      <c r="R675" s="10">
        <f>P675-Q675</f>
        <v>799.59999999999991</v>
      </c>
    </row>
    <row r="676" spans="1:18">
      <c r="A676">
        <v>675</v>
      </c>
      <c r="B676" s="8">
        <v>45613</v>
      </c>
      <c r="C676" t="s">
        <v>7</v>
      </c>
      <c r="D676" t="s">
        <v>46</v>
      </c>
      <c r="E676" t="s">
        <v>41</v>
      </c>
      <c r="F676" t="s">
        <v>52</v>
      </c>
      <c r="G676" t="s">
        <v>44</v>
      </c>
      <c r="H676" t="s">
        <v>44</v>
      </c>
      <c r="I676" t="s">
        <v>43</v>
      </c>
      <c r="J676" t="s">
        <v>45</v>
      </c>
      <c r="K676" s="9">
        <v>27</v>
      </c>
      <c r="L676" s="10">
        <f>IFERROR(VLOOKUP(C676,Parâmetros!$A$5:$D$7,IF(D676="Mensal",2,IF(D676="Trimestral",3,4)),0),0)</f>
        <v>14.99</v>
      </c>
      <c r="M676" s="10">
        <f>IF(G676="Sim",VLOOKUP("EA Play",Parâmetros!$A$11:$B$13,2,0),0)*K676</f>
        <v>0</v>
      </c>
      <c r="N676" s="10">
        <f>IF(H676="Sim",VLOOKUP("Minecraft Pass",Parâmetros!$A$11:$B$13,2,0),0)*K676</f>
        <v>0</v>
      </c>
      <c r="O676" s="10">
        <f>IF(I676="Sim",VLOOKUP("Call of Duty Pass",Parâmetros!$A$11:$B$13,2,0),0)*K676</f>
        <v>188.73000000000002</v>
      </c>
      <c r="P676" s="10">
        <f>(L676*K676+M676+N676+O676)*IF(F676="Promoção",1-Parâmetros!$B$22,1)</f>
        <v>593.46</v>
      </c>
      <c r="Q676" s="10">
        <f>Parâmetros!$B$20*K676</f>
        <v>324</v>
      </c>
      <c r="R676" s="10">
        <f>P676-Q676</f>
        <v>269.46000000000004</v>
      </c>
    </row>
    <row r="677" spans="1:18">
      <c r="A677">
        <v>676</v>
      </c>
      <c r="B677" s="8">
        <v>45619</v>
      </c>
      <c r="C677" t="s">
        <v>7</v>
      </c>
      <c r="D677" t="s">
        <v>50</v>
      </c>
      <c r="E677" t="s">
        <v>41</v>
      </c>
      <c r="F677" t="s">
        <v>42</v>
      </c>
      <c r="G677" t="s">
        <v>44</v>
      </c>
      <c r="H677" t="s">
        <v>43</v>
      </c>
      <c r="I677" t="s">
        <v>43</v>
      </c>
      <c r="J677" t="s">
        <v>49</v>
      </c>
      <c r="K677" s="9">
        <v>24</v>
      </c>
      <c r="L677" s="10">
        <f>IFERROR(VLOOKUP(C677,Parâmetros!$A$5:$D$7,IF(D677="Mensal",2,IF(D677="Trimestral",3,4)),0),0)</f>
        <v>149</v>
      </c>
      <c r="M677" s="10">
        <f>IF(G677="Sim",VLOOKUP("EA Play",Parâmetros!$A$11:$B$13,2,0),0)*K677</f>
        <v>0</v>
      </c>
      <c r="N677" s="10">
        <f>IF(H677="Sim",VLOOKUP("Minecraft Pass",Parâmetros!$A$11:$B$13,2,0),0)*K677</f>
        <v>95.76</v>
      </c>
      <c r="O677" s="10">
        <f>IF(I677="Sim",VLOOKUP("Call of Duty Pass",Parâmetros!$A$11:$B$13,2,0),0)*K677</f>
        <v>167.76</v>
      </c>
      <c r="P677" s="10">
        <f>(L677*K677+M677+N677+O677)*IF(F677="Promoção",1-Parâmetros!$B$22,1)</f>
        <v>3839.5200000000004</v>
      </c>
      <c r="Q677" s="10">
        <f>Parâmetros!$B$20*K677</f>
        <v>288</v>
      </c>
      <c r="R677" s="10">
        <f>P677-Q677</f>
        <v>3551.5200000000004</v>
      </c>
    </row>
    <row r="678" spans="1:18">
      <c r="A678">
        <v>677</v>
      </c>
      <c r="B678" s="8">
        <v>45478</v>
      </c>
      <c r="C678" t="s">
        <v>6</v>
      </c>
      <c r="D678" t="s">
        <v>46</v>
      </c>
      <c r="E678" t="s">
        <v>51</v>
      </c>
      <c r="F678" t="s">
        <v>48</v>
      </c>
      <c r="G678" t="s">
        <v>43</v>
      </c>
      <c r="H678" t="s">
        <v>43</v>
      </c>
      <c r="I678" t="s">
        <v>44</v>
      </c>
      <c r="J678" t="s">
        <v>45</v>
      </c>
      <c r="K678" s="9">
        <v>15</v>
      </c>
      <c r="L678" s="10">
        <f>IFERROR(VLOOKUP(C678,Parâmetros!$A$5:$D$7,IF(D678="Mensal",2,IF(D678="Trimestral",3,4)),0),0)</f>
        <v>9.99</v>
      </c>
      <c r="M678" s="10">
        <f>IF(G678="Sim",VLOOKUP("EA Play",Parâmetros!$A$11:$B$13,2,0),0)*K678</f>
        <v>74.850000000000009</v>
      </c>
      <c r="N678" s="10">
        <f>IF(H678="Sim",VLOOKUP("Minecraft Pass",Parâmetros!$A$11:$B$13,2,0),0)*K678</f>
        <v>59.85</v>
      </c>
      <c r="O678" s="10">
        <f>IF(I678="Sim",VLOOKUP("Call of Duty Pass",Parâmetros!$A$11:$B$13,2,0),0)*K678</f>
        <v>0</v>
      </c>
      <c r="P678" s="10">
        <f>(L678*K678+M678+N678+O678)*IF(F678="Promoção",1-Parâmetros!$B$22,1)</f>
        <v>284.55</v>
      </c>
      <c r="Q678" s="10">
        <f>Parâmetros!$B$20*K678</f>
        <v>180</v>
      </c>
      <c r="R678" s="10">
        <f>P678-Q678</f>
        <v>104.55000000000001</v>
      </c>
    </row>
    <row r="679" spans="1:18">
      <c r="A679">
        <v>678</v>
      </c>
      <c r="B679" s="8">
        <v>45383</v>
      </c>
      <c r="C679" t="s">
        <v>8</v>
      </c>
      <c r="D679" t="s">
        <v>46</v>
      </c>
      <c r="E679" t="s">
        <v>51</v>
      </c>
      <c r="F679" t="s">
        <v>42</v>
      </c>
      <c r="G679" t="s">
        <v>43</v>
      </c>
      <c r="H679" t="s">
        <v>44</v>
      </c>
      <c r="I679" t="s">
        <v>43</v>
      </c>
      <c r="J679" t="s">
        <v>49</v>
      </c>
      <c r="K679" s="9">
        <v>24</v>
      </c>
      <c r="L679" s="10">
        <f>IFERROR(VLOOKUP(C679,Parâmetros!$A$5:$D$7,IF(D679="Mensal",2,IF(D679="Trimestral",3,4)),0),0)</f>
        <v>21.99</v>
      </c>
      <c r="M679" s="10">
        <f>IF(G679="Sim",VLOOKUP("EA Play",Parâmetros!$A$11:$B$13,2,0),0)*K679</f>
        <v>119.76</v>
      </c>
      <c r="N679" s="10">
        <f>IF(H679="Sim",VLOOKUP("Minecraft Pass",Parâmetros!$A$11:$B$13,2,0),0)*K679</f>
        <v>0</v>
      </c>
      <c r="O679" s="10">
        <f>IF(I679="Sim",VLOOKUP("Call of Duty Pass",Parâmetros!$A$11:$B$13,2,0),0)*K679</f>
        <v>167.76</v>
      </c>
      <c r="P679" s="10">
        <f>(L679*K679+M679+N679+O679)*IF(F679="Promoção",1-Parâmetros!$B$22,1)</f>
        <v>815.28</v>
      </c>
      <c r="Q679" s="10">
        <f>Parâmetros!$B$20*K679</f>
        <v>288</v>
      </c>
      <c r="R679" s="10">
        <f>P679-Q679</f>
        <v>527.28</v>
      </c>
    </row>
    <row r="680" spans="1:18">
      <c r="A680">
        <v>679</v>
      </c>
      <c r="B680" s="8">
        <v>45466</v>
      </c>
      <c r="C680" t="s">
        <v>8</v>
      </c>
      <c r="D680" t="s">
        <v>46</v>
      </c>
      <c r="E680" t="s">
        <v>51</v>
      </c>
      <c r="F680" t="s">
        <v>48</v>
      </c>
      <c r="G680" t="s">
        <v>44</v>
      </c>
      <c r="H680" t="s">
        <v>44</v>
      </c>
      <c r="I680" t="s">
        <v>44</v>
      </c>
      <c r="J680" t="s">
        <v>49</v>
      </c>
      <c r="K680" s="9">
        <v>14</v>
      </c>
      <c r="L680" s="10">
        <f>IFERROR(VLOOKUP(C680,Parâmetros!$A$5:$D$7,IF(D680="Mensal",2,IF(D680="Trimestral",3,4)),0),0)</f>
        <v>21.99</v>
      </c>
      <c r="M680" s="10">
        <f>IF(G680="Sim",VLOOKUP("EA Play",Parâmetros!$A$11:$B$13,2,0),0)*K680</f>
        <v>0</v>
      </c>
      <c r="N680" s="10">
        <f>IF(H680="Sim",VLOOKUP("Minecraft Pass",Parâmetros!$A$11:$B$13,2,0),0)*K680</f>
        <v>0</v>
      </c>
      <c r="O680" s="10">
        <f>IF(I680="Sim",VLOOKUP("Call of Duty Pass",Parâmetros!$A$11:$B$13,2,0),0)*K680</f>
        <v>0</v>
      </c>
      <c r="P680" s="10">
        <f>(L680*K680+M680+N680+O680)*IF(F680="Promoção",1-Parâmetros!$B$22,1)</f>
        <v>307.85999999999996</v>
      </c>
      <c r="Q680" s="10">
        <f>Parâmetros!$B$20*K680</f>
        <v>168</v>
      </c>
      <c r="R680" s="10">
        <f>P680-Q680</f>
        <v>139.85999999999996</v>
      </c>
    </row>
    <row r="681" spans="1:18">
      <c r="A681">
        <v>680</v>
      </c>
      <c r="B681" s="8">
        <v>45487</v>
      </c>
      <c r="C681" t="s">
        <v>8</v>
      </c>
      <c r="D681" t="s">
        <v>50</v>
      </c>
      <c r="E681" t="s">
        <v>41</v>
      </c>
      <c r="F681" t="s">
        <v>52</v>
      </c>
      <c r="G681" t="s">
        <v>43</v>
      </c>
      <c r="H681" t="s">
        <v>44</v>
      </c>
      <c r="I681" t="s">
        <v>43</v>
      </c>
      <c r="J681" t="s">
        <v>49</v>
      </c>
      <c r="K681" s="9">
        <v>19</v>
      </c>
      <c r="L681" s="10">
        <f>IFERROR(VLOOKUP(C681,Parâmetros!$A$5:$D$7,IF(D681="Mensal",2,IF(D681="Trimestral",3,4)),0),0)</f>
        <v>219</v>
      </c>
      <c r="M681" s="10">
        <f>IF(G681="Sim",VLOOKUP("EA Play",Parâmetros!$A$11:$B$13,2,0),0)*K681</f>
        <v>94.81</v>
      </c>
      <c r="N681" s="10">
        <f>IF(H681="Sim",VLOOKUP("Minecraft Pass",Parâmetros!$A$11:$B$13,2,0),0)*K681</f>
        <v>0</v>
      </c>
      <c r="O681" s="10">
        <f>IF(I681="Sim",VLOOKUP("Call of Duty Pass",Parâmetros!$A$11:$B$13,2,0),0)*K681</f>
        <v>132.81</v>
      </c>
      <c r="P681" s="10">
        <f>(L681*K681+M681+N681+O681)*IF(F681="Promoção",1-Parâmetros!$B$22,1)</f>
        <v>4388.6200000000008</v>
      </c>
      <c r="Q681" s="10">
        <f>Parâmetros!$B$20*K681</f>
        <v>228</v>
      </c>
      <c r="R681" s="10">
        <f>P681-Q681</f>
        <v>4160.6200000000008</v>
      </c>
    </row>
    <row r="682" spans="1:18">
      <c r="A682">
        <v>681</v>
      </c>
      <c r="B682" s="8">
        <v>45985</v>
      </c>
      <c r="C682" t="s">
        <v>6</v>
      </c>
      <c r="D682" t="s">
        <v>46</v>
      </c>
      <c r="E682" t="s">
        <v>51</v>
      </c>
      <c r="F682" t="s">
        <v>42</v>
      </c>
      <c r="G682" t="s">
        <v>44</v>
      </c>
      <c r="H682" t="s">
        <v>43</v>
      </c>
      <c r="I682" t="s">
        <v>44</v>
      </c>
      <c r="J682" t="s">
        <v>49</v>
      </c>
      <c r="K682" s="9">
        <v>30</v>
      </c>
      <c r="L682" s="10">
        <f>IFERROR(VLOOKUP(C682,Parâmetros!$A$5:$D$7,IF(D682="Mensal",2,IF(D682="Trimestral",3,4)),0),0)</f>
        <v>9.99</v>
      </c>
      <c r="M682" s="10">
        <f>IF(G682="Sim",VLOOKUP("EA Play",Parâmetros!$A$11:$B$13,2,0),0)*K682</f>
        <v>0</v>
      </c>
      <c r="N682" s="10">
        <f>IF(H682="Sim",VLOOKUP("Minecraft Pass",Parâmetros!$A$11:$B$13,2,0),0)*K682</f>
        <v>119.7</v>
      </c>
      <c r="O682" s="10">
        <f>IF(I682="Sim",VLOOKUP("Call of Duty Pass",Parâmetros!$A$11:$B$13,2,0),0)*K682</f>
        <v>0</v>
      </c>
      <c r="P682" s="10">
        <f>(L682*K682+M682+N682+O682)*IF(F682="Promoção",1-Parâmetros!$B$22,1)</f>
        <v>419.4</v>
      </c>
      <c r="Q682" s="10">
        <f>Parâmetros!$B$20*K682</f>
        <v>360</v>
      </c>
      <c r="R682" s="10">
        <f>P682-Q682</f>
        <v>59.399999999999977</v>
      </c>
    </row>
    <row r="683" spans="1:18">
      <c r="A683">
        <v>682</v>
      </c>
      <c r="B683" s="8">
        <v>45379</v>
      </c>
      <c r="C683" t="s">
        <v>6</v>
      </c>
      <c r="D683" t="s">
        <v>46</v>
      </c>
      <c r="E683" t="s">
        <v>41</v>
      </c>
      <c r="F683" t="s">
        <v>52</v>
      </c>
      <c r="G683" t="s">
        <v>44</v>
      </c>
      <c r="H683" t="s">
        <v>44</v>
      </c>
      <c r="I683" t="s">
        <v>44</v>
      </c>
      <c r="J683" t="s">
        <v>45</v>
      </c>
      <c r="K683" s="9">
        <v>17</v>
      </c>
      <c r="L683" s="10">
        <f>IFERROR(VLOOKUP(C683,Parâmetros!$A$5:$D$7,IF(D683="Mensal",2,IF(D683="Trimestral",3,4)),0),0)</f>
        <v>9.99</v>
      </c>
      <c r="M683" s="10">
        <f>IF(G683="Sim",VLOOKUP("EA Play",Parâmetros!$A$11:$B$13,2,0),0)*K683</f>
        <v>0</v>
      </c>
      <c r="N683" s="10">
        <f>IF(H683="Sim",VLOOKUP("Minecraft Pass",Parâmetros!$A$11:$B$13,2,0),0)*K683</f>
        <v>0</v>
      </c>
      <c r="O683" s="10">
        <f>IF(I683="Sim",VLOOKUP("Call of Duty Pass",Parâmetros!$A$11:$B$13,2,0),0)*K683</f>
        <v>0</v>
      </c>
      <c r="P683" s="10">
        <f>(L683*K683+M683+N683+O683)*IF(F683="Promoção",1-Parâmetros!$B$22,1)</f>
        <v>169.83</v>
      </c>
      <c r="Q683" s="10">
        <f>Parâmetros!$B$20*K683</f>
        <v>204</v>
      </c>
      <c r="R683" s="10">
        <f>P683-Q683</f>
        <v>-34.169999999999987</v>
      </c>
    </row>
    <row r="684" spans="1:18">
      <c r="A684">
        <v>683</v>
      </c>
      <c r="B684" s="8">
        <v>45366</v>
      </c>
      <c r="C684" t="s">
        <v>6</v>
      </c>
      <c r="D684" t="s">
        <v>46</v>
      </c>
      <c r="E684" t="s">
        <v>41</v>
      </c>
      <c r="F684" t="s">
        <v>42</v>
      </c>
      <c r="G684" t="s">
        <v>44</v>
      </c>
      <c r="H684" t="s">
        <v>44</v>
      </c>
      <c r="I684" t="s">
        <v>44</v>
      </c>
      <c r="J684" t="s">
        <v>45</v>
      </c>
      <c r="K684" s="9">
        <v>3</v>
      </c>
      <c r="L684" s="10">
        <f>IFERROR(VLOOKUP(C684,Parâmetros!$A$5:$D$7,IF(D684="Mensal",2,IF(D684="Trimestral",3,4)),0),0)</f>
        <v>9.99</v>
      </c>
      <c r="M684" s="10">
        <f>IF(G684="Sim",VLOOKUP("EA Play",Parâmetros!$A$11:$B$13,2,0),0)*K684</f>
        <v>0</v>
      </c>
      <c r="N684" s="10">
        <f>IF(H684="Sim",VLOOKUP("Minecraft Pass",Parâmetros!$A$11:$B$13,2,0),0)*K684</f>
        <v>0</v>
      </c>
      <c r="O684" s="10">
        <f>IF(I684="Sim",VLOOKUP("Call of Duty Pass",Parâmetros!$A$11:$B$13,2,0),0)*K684</f>
        <v>0</v>
      </c>
      <c r="P684" s="10">
        <f>(L684*K684+M684+N684+O684)*IF(F684="Promoção",1-Parâmetros!$B$22,1)</f>
        <v>29.97</v>
      </c>
      <c r="Q684" s="10">
        <f>Parâmetros!$B$20*K684</f>
        <v>36</v>
      </c>
      <c r="R684" s="10">
        <f>P684-Q684</f>
        <v>-6.0300000000000011</v>
      </c>
    </row>
    <row r="685" spans="1:18">
      <c r="A685">
        <v>684</v>
      </c>
      <c r="B685" s="8">
        <v>45297</v>
      </c>
      <c r="C685" t="s">
        <v>6</v>
      </c>
      <c r="D685" t="s">
        <v>40</v>
      </c>
      <c r="E685" t="s">
        <v>41</v>
      </c>
      <c r="F685" t="s">
        <v>42</v>
      </c>
      <c r="G685" t="s">
        <v>43</v>
      </c>
      <c r="H685" t="s">
        <v>44</v>
      </c>
      <c r="I685" t="s">
        <v>44</v>
      </c>
      <c r="J685" t="s">
        <v>45</v>
      </c>
      <c r="K685" s="9">
        <v>17</v>
      </c>
      <c r="L685" s="10">
        <f>IFERROR(VLOOKUP(C685,Parâmetros!$A$5:$D$7,IF(D685="Mensal",2,IF(D685="Trimestral",3,4)),0),0)</f>
        <v>27</v>
      </c>
      <c r="M685" s="10">
        <f>IF(G685="Sim",VLOOKUP("EA Play",Parâmetros!$A$11:$B$13,2,0),0)*K685</f>
        <v>84.83</v>
      </c>
      <c r="N685" s="10">
        <f>IF(H685="Sim",VLOOKUP("Minecraft Pass",Parâmetros!$A$11:$B$13,2,0),0)*K685</f>
        <v>0</v>
      </c>
      <c r="O685" s="10">
        <f>IF(I685="Sim",VLOOKUP("Call of Duty Pass",Parâmetros!$A$11:$B$13,2,0),0)*K685</f>
        <v>0</v>
      </c>
      <c r="P685" s="10">
        <f>(L685*K685+M685+N685+O685)*IF(F685="Promoção",1-Parâmetros!$B$22,1)</f>
        <v>543.83000000000004</v>
      </c>
      <c r="Q685" s="10">
        <f>Parâmetros!$B$20*K685</f>
        <v>204</v>
      </c>
      <c r="R685" s="10">
        <f>P685-Q685</f>
        <v>339.83000000000004</v>
      </c>
    </row>
    <row r="686" spans="1:18">
      <c r="A686">
        <v>685</v>
      </c>
      <c r="B686" s="8">
        <v>45465</v>
      </c>
      <c r="C686" t="s">
        <v>7</v>
      </c>
      <c r="D686" t="s">
        <v>50</v>
      </c>
      <c r="E686" t="s">
        <v>55</v>
      </c>
      <c r="F686" t="s">
        <v>42</v>
      </c>
      <c r="G686" t="s">
        <v>43</v>
      </c>
      <c r="H686" t="s">
        <v>44</v>
      </c>
      <c r="I686" t="s">
        <v>43</v>
      </c>
      <c r="J686" t="s">
        <v>49</v>
      </c>
      <c r="K686" s="9">
        <v>3</v>
      </c>
      <c r="L686" s="10">
        <f>IFERROR(VLOOKUP(C686,Parâmetros!$A$5:$D$7,IF(D686="Mensal",2,IF(D686="Trimestral",3,4)),0),0)</f>
        <v>149</v>
      </c>
      <c r="M686" s="10">
        <f>IF(G686="Sim",VLOOKUP("EA Play",Parâmetros!$A$11:$B$13,2,0),0)*K686</f>
        <v>14.97</v>
      </c>
      <c r="N686" s="10">
        <f>IF(H686="Sim",VLOOKUP("Minecraft Pass",Parâmetros!$A$11:$B$13,2,0),0)*K686</f>
        <v>0</v>
      </c>
      <c r="O686" s="10">
        <f>IF(I686="Sim",VLOOKUP("Call of Duty Pass",Parâmetros!$A$11:$B$13,2,0),0)*K686</f>
        <v>20.97</v>
      </c>
      <c r="P686" s="10">
        <f>(L686*K686+M686+N686+O686)*IF(F686="Promoção",1-Parâmetros!$B$22,1)</f>
        <v>482.94000000000005</v>
      </c>
      <c r="Q686" s="10">
        <f>Parâmetros!$B$20*K686</f>
        <v>36</v>
      </c>
      <c r="R686" s="10">
        <f>P686-Q686</f>
        <v>446.94000000000005</v>
      </c>
    </row>
    <row r="687" spans="1:18">
      <c r="A687">
        <v>686</v>
      </c>
      <c r="B687" s="8">
        <v>45422</v>
      </c>
      <c r="C687" t="s">
        <v>7</v>
      </c>
      <c r="D687" t="s">
        <v>50</v>
      </c>
      <c r="E687" t="s">
        <v>41</v>
      </c>
      <c r="F687" t="s">
        <v>42</v>
      </c>
      <c r="G687" t="s">
        <v>43</v>
      </c>
      <c r="H687" t="s">
        <v>44</v>
      </c>
      <c r="I687" t="s">
        <v>43</v>
      </c>
      <c r="J687" t="s">
        <v>45</v>
      </c>
      <c r="K687" s="9">
        <v>17</v>
      </c>
      <c r="L687" s="10">
        <f>IFERROR(VLOOKUP(C687,Parâmetros!$A$5:$D$7,IF(D687="Mensal",2,IF(D687="Trimestral",3,4)),0),0)</f>
        <v>149</v>
      </c>
      <c r="M687" s="10">
        <f>IF(G687="Sim",VLOOKUP("EA Play",Parâmetros!$A$11:$B$13,2,0),0)*K687</f>
        <v>84.83</v>
      </c>
      <c r="N687" s="10">
        <f>IF(H687="Sim",VLOOKUP("Minecraft Pass",Parâmetros!$A$11:$B$13,2,0),0)*K687</f>
        <v>0</v>
      </c>
      <c r="O687" s="10">
        <f>IF(I687="Sim",VLOOKUP("Call of Duty Pass",Parâmetros!$A$11:$B$13,2,0),0)*K687</f>
        <v>118.83</v>
      </c>
      <c r="P687" s="10">
        <f>(L687*K687+M687+N687+O687)*IF(F687="Promoção",1-Parâmetros!$B$22,1)</f>
        <v>2736.66</v>
      </c>
      <c r="Q687" s="10">
        <f>Parâmetros!$B$20*K687</f>
        <v>204</v>
      </c>
      <c r="R687" s="10">
        <f>P687-Q687</f>
        <v>2532.66</v>
      </c>
    </row>
    <row r="688" spans="1:18">
      <c r="A688">
        <v>687</v>
      </c>
      <c r="B688" s="8">
        <v>45821</v>
      </c>
      <c r="C688" t="s">
        <v>6</v>
      </c>
      <c r="D688" t="s">
        <v>50</v>
      </c>
      <c r="E688" t="s">
        <v>41</v>
      </c>
      <c r="F688" t="s">
        <v>54</v>
      </c>
      <c r="G688" t="s">
        <v>44</v>
      </c>
      <c r="H688" t="s">
        <v>43</v>
      </c>
      <c r="I688" t="s">
        <v>44</v>
      </c>
      <c r="J688" t="s">
        <v>45</v>
      </c>
      <c r="K688" s="9">
        <v>29</v>
      </c>
      <c r="L688" s="10">
        <f>IFERROR(VLOOKUP(C688,Parâmetros!$A$5:$D$7,IF(D688="Mensal",2,IF(D688="Trimestral",3,4)),0),0)</f>
        <v>99</v>
      </c>
      <c r="M688" s="10">
        <f>IF(G688="Sim",VLOOKUP("EA Play",Parâmetros!$A$11:$B$13,2,0),0)*K688</f>
        <v>0</v>
      </c>
      <c r="N688" s="10">
        <f>IF(H688="Sim",VLOOKUP("Minecraft Pass",Parâmetros!$A$11:$B$13,2,0),0)*K688</f>
        <v>115.71000000000001</v>
      </c>
      <c r="O688" s="10">
        <f>IF(I688="Sim",VLOOKUP("Call of Duty Pass",Parâmetros!$A$11:$B$13,2,0),0)*K688</f>
        <v>0</v>
      </c>
      <c r="P688" s="10">
        <f>(L688*K688+M688+N688+O688)*IF(F688="Promoção",1-Parâmetros!$B$22,1)</f>
        <v>2688.0390000000002</v>
      </c>
      <c r="Q688" s="10">
        <f>Parâmetros!$B$20*K688</f>
        <v>348</v>
      </c>
      <c r="R688" s="10">
        <f>P688-Q688</f>
        <v>2340.0390000000002</v>
      </c>
    </row>
    <row r="689" spans="1:18">
      <c r="A689">
        <v>688</v>
      </c>
      <c r="B689" s="8">
        <v>45346</v>
      </c>
      <c r="C689" t="s">
        <v>6</v>
      </c>
      <c r="D689" t="s">
        <v>46</v>
      </c>
      <c r="E689" t="s">
        <v>41</v>
      </c>
      <c r="F689" t="s">
        <v>48</v>
      </c>
      <c r="G689" t="s">
        <v>43</v>
      </c>
      <c r="H689" t="s">
        <v>44</v>
      </c>
      <c r="I689" t="s">
        <v>43</v>
      </c>
      <c r="J689" t="s">
        <v>45</v>
      </c>
      <c r="K689" s="9">
        <v>32</v>
      </c>
      <c r="L689" s="10">
        <f>IFERROR(VLOOKUP(C689,Parâmetros!$A$5:$D$7,IF(D689="Mensal",2,IF(D689="Trimestral",3,4)),0),0)</f>
        <v>9.99</v>
      </c>
      <c r="M689" s="10">
        <f>IF(G689="Sim",VLOOKUP("EA Play",Parâmetros!$A$11:$B$13,2,0),0)*K689</f>
        <v>159.68</v>
      </c>
      <c r="N689" s="10">
        <f>IF(H689="Sim",VLOOKUP("Minecraft Pass",Parâmetros!$A$11:$B$13,2,0),0)*K689</f>
        <v>0</v>
      </c>
      <c r="O689" s="10">
        <f>IF(I689="Sim",VLOOKUP("Call of Duty Pass",Parâmetros!$A$11:$B$13,2,0),0)*K689</f>
        <v>223.68</v>
      </c>
      <c r="P689" s="10">
        <f>(L689*K689+M689+N689+O689)*IF(F689="Promoção",1-Parâmetros!$B$22,1)</f>
        <v>703.04</v>
      </c>
      <c r="Q689" s="10">
        <f>Parâmetros!$B$20*K689</f>
        <v>384</v>
      </c>
      <c r="R689" s="10">
        <f>P689-Q689</f>
        <v>319.03999999999996</v>
      </c>
    </row>
    <row r="690" spans="1:18">
      <c r="A690">
        <v>689</v>
      </c>
      <c r="B690" s="8">
        <v>45333</v>
      </c>
      <c r="C690" t="s">
        <v>7</v>
      </c>
      <c r="D690" t="s">
        <v>50</v>
      </c>
      <c r="E690" t="s">
        <v>47</v>
      </c>
      <c r="F690" t="s">
        <v>48</v>
      </c>
      <c r="G690" t="s">
        <v>43</v>
      </c>
      <c r="H690" t="s">
        <v>44</v>
      </c>
      <c r="I690" t="s">
        <v>43</v>
      </c>
      <c r="J690" t="s">
        <v>49</v>
      </c>
      <c r="K690" s="9">
        <v>14</v>
      </c>
      <c r="L690" s="10">
        <f>IFERROR(VLOOKUP(C690,Parâmetros!$A$5:$D$7,IF(D690="Mensal",2,IF(D690="Trimestral",3,4)),0),0)</f>
        <v>149</v>
      </c>
      <c r="M690" s="10">
        <f>IF(G690="Sim",VLOOKUP("EA Play",Parâmetros!$A$11:$B$13,2,0),0)*K690</f>
        <v>69.86</v>
      </c>
      <c r="N690" s="10">
        <f>IF(H690="Sim",VLOOKUP("Minecraft Pass",Parâmetros!$A$11:$B$13,2,0),0)*K690</f>
        <v>0</v>
      </c>
      <c r="O690" s="10">
        <f>IF(I690="Sim",VLOOKUP("Call of Duty Pass",Parâmetros!$A$11:$B$13,2,0),0)*K690</f>
        <v>97.86</v>
      </c>
      <c r="P690" s="10">
        <f>(L690*K690+M690+N690+O690)*IF(F690="Promoção",1-Parâmetros!$B$22,1)</f>
        <v>2253.7200000000003</v>
      </c>
      <c r="Q690" s="10">
        <f>Parâmetros!$B$20*K690</f>
        <v>168</v>
      </c>
      <c r="R690" s="10">
        <f>P690-Q690</f>
        <v>2085.7200000000003</v>
      </c>
    </row>
    <row r="691" spans="1:18">
      <c r="A691">
        <v>690</v>
      </c>
      <c r="B691" s="8">
        <v>45582</v>
      </c>
      <c r="C691" t="s">
        <v>6</v>
      </c>
      <c r="D691" t="s">
        <v>46</v>
      </c>
      <c r="E691" t="s">
        <v>47</v>
      </c>
      <c r="F691" t="s">
        <v>42</v>
      </c>
      <c r="G691" t="s">
        <v>44</v>
      </c>
      <c r="H691" t="s">
        <v>44</v>
      </c>
      <c r="I691" t="s">
        <v>44</v>
      </c>
      <c r="J691" t="s">
        <v>45</v>
      </c>
      <c r="K691" s="9">
        <v>34</v>
      </c>
      <c r="L691" s="10">
        <f>IFERROR(VLOOKUP(C691,Parâmetros!$A$5:$D$7,IF(D691="Mensal",2,IF(D691="Trimestral",3,4)),0),0)</f>
        <v>9.99</v>
      </c>
      <c r="M691" s="10">
        <f>IF(G691="Sim",VLOOKUP("EA Play",Parâmetros!$A$11:$B$13,2,0),0)*K691</f>
        <v>0</v>
      </c>
      <c r="N691" s="10">
        <f>IF(H691="Sim",VLOOKUP("Minecraft Pass",Parâmetros!$A$11:$B$13,2,0),0)*K691</f>
        <v>0</v>
      </c>
      <c r="O691" s="10">
        <f>IF(I691="Sim",VLOOKUP("Call of Duty Pass",Parâmetros!$A$11:$B$13,2,0),0)*K691</f>
        <v>0</v>
      </c>
      <c r="P691" s="10">
        <f>(L691*K691+M691+N691+O691)*IF(F691="Promoção",1-Parâmetros!$B$22,1)</f>
        <v>339.66</v>
      </c>
      <c r="Q691" s="10">
        <f>Parâmetros!$B$20*K691</f>
        <v>408</v>
      </c>
      <c r="R691" s="10">
        <f>P691-Q691</f>
        <v>-68.339999999999975</v>
      </c>
    </row>
    <row r="692" spans="1:18">
      <c r="A692">
        <v>691</v>
      </c>
      <c r="B692" s="8">
        <v>45876</v>
      </c>
      <c r="C692" t="s">
        <v>6</v>
      </c>
      <c r="D692" t="s">
        <v>50</v>
      </c>
      <c r="E692" t="s">
        <v>41</v>
      </c>
      <c r="F692" t="s">
        <v>48</v>
      </c>
      <c r="G692" t="s">
        <v>43</v>
      </c>
      <c r="H692" t="s">
        <v>43</v>
      </c>
      <c r="I692" t="s">
        <v>43</v>
      </c>
      <c r="J692" t="s">
        <v>45</v>
      </c>
      <c r="K692" s="9">
        <v>8</v>
      </c>
      <c r="L692" s="10">
        <f>IFERROR(VLOOKUP(C692,Parâmetros!$A$5:$D$7,IF(D692="Mensal",2,IF(D692="Trimestral",3,4)),0),0)</f>
        <v>99</v>
      </c>
      <c r="M692" s="10">
        <f>IF(G692="Sim",VLOOKUP("EA Play",Parâmetros!$A$11:$B$13,2,0),0)*K692</f>
        <v>39.92</v>
      </c>
      <c r="N692" s="10">
        <f>IF(H692="Sim",VLOOKUP("Minecraft Pass",Parâmetros!$A$11:$B$13,2,0),0)*K692</f>
        <v>31.92</v>
      </c>
      <c r="O692" s="10">
        <f>IF(I692="Sim",VLOOKUP("Call of Duty Pass",Parâmetros!$A$11:$B$13,2,0),0)*K692</f>
        <v>55.92</v>
      </c>
      <c r="P692" s="10">
        <f>(L692*K692+M692+N692+O692)*IF(F692="Promoção",1-Parâmetros!$B$22,1)</f>
        <v>919.75999999999988</v>
      </c>
      <c r="Q692" s="10">
        <f>Parâmetros!$B$20*K692</f>
        <v>96</v>
      </c>
      <c r="R692" s="10">
        <f>P692-Q692</f>
        <v>823.75999999999988</v>
      </c>
    </row>
    <row r="693" spans="1:18">
      <c r="A693">
        <v>692</v>
      </c>
      <c r="B693" s="8">
        <v>45695</v>
      </c>
      <c r="C693" t="s">
        <v>6</v>
      </c>
      <c r="D693" t="s">
        <v>50</v>
      </c>
      <c r="E693" t="s">
        <v>41</v>
      </c>
      <c r="F693" t="s">
        <v>42</v>
      </c>
      <c r="G693" t="s">
        <v>43</v>
      </c>
      <c r="H693" t="s">
        <v>44</v>
      </c>
      <c r="I693" t="s">
        <v>44</v>
      </c>
      <c r="J693" t="s">
        <v>49</v>
      </c>
      <c r="K693" s="9">
        <v>18</v>
      </c>
      <c r="L693" s="10">
        <f>IFERROR(VLOOKUP(C693,Parâmetros!$A$5:$D$7,IF(D693="Mensal",2,IF(D693="Trimestral",3,4)),0),0)</f>
        <v>99</v>
      </c>
      <c r="M693" s="10">
        <f>IF(G693="Sim",VLOOKUP("EA Play",Parâmetros!$A$11:$B$13,2,0),0)*K693</f>
        <v>89.820000000000007</v>
      </c>
      <c r="N693" s="10">
        <f>IF(H693="Sim",VLOOKUP("Minecraft Pass",Parâmetros!$A$11:$B$13,2,0),0)*K693</f>
        <v>0</v>
      </c>
      <c r="O693" s="10">
        <f>IF(I693="Sim",VLOOKUP("Call of Duty Pass",Parâmetros!$A$11:$B$13,2,0),0)*K693</f>
        <v>0</v>
      </c>
      <c r="P693" s="10">
        <f>(L693*K693+M693+N693+O693)*IF(F693="Promoção",1-Parâmetros!$B$22,1)</f>
        <v>1871.82</v>
      </c>
      <c r="Q693" s="10">
        <f>Parâmetros!$B$20*K693</f>
        <v>216</v>
      </c>
      <c r="R693" s="10">
        <f>P693-Q693</f>
        <v>1655.82</v>
      </c>
    </row>
    <row r="694" spans="1:18">
      <c r="A694">
        <v>693</v>
      </c>
      <c r="B694" s="8">
        <v>45900</v>
      </c>
      <c r="C694" t="s">
        <v>7</v>
      </c>
      <c r="D694" t="s">
        <v>46</v>
      </c>
      <c r="E694" t="s">
        <v>41</v>
      </c>
      <c r="F694" t="s">
        <v>52</v>
      </c>
      <c r="G694" t="s">
        <v>44</v>
      </c>
      <c r="H694" t="s">
        <v>44</v>
      </c>
      <c r="I694" t="s">
        <v>44</v>
      </c>
      <c r="J694" t="s">
        <v>45</v>
      </c>
      <c r="K694" s="9">
        <v>9</v>
      </c>
      <c r="L694" s="10">
        <f>IFERROR(VLOOKUP(C694,Parâmetros!$A$5:$D$7,IF(D694="Mensal",2,IF(D694="Trimestral",3,4)),0),0)</f>
        <v>14.99</v>
      </c>
      <c r="M694" s="10">
        <f>IF(G694="Sim",VLOOKUP("EA Play",Parâmetros!$A$11:$B$13,2,0),0)*K694</f>
        <v>0</v>
      </c>
      <c r="N694" s="10">
        <f>IF(H694="Sim",VLOOKUP("Minecraft Pass",Parâmetros!$A$11:$B$13,2,0),0)*K694</f>
        <v>0</v>
      </c>
      <c r="O694" s="10">
        <f>IF(I694="Sim",VLOOKUP("Call of Duty Pass",Parâmetros!$A$11:$B$13,2,0),0)*K694</f>
        <v>0</v>
      </c>
      <c r="P694" s="10">
        <f>(L694*K694+M694+N694+O694)*IF(F694="Promoção",1-Parâmetros!$B$22,1)</f>
        <v>134.91</v>
      </c>
      <c r="Q694" s="10">
        <f>Parâmetros!$B$20*K694</f>
        <v>108</v>
      </c>
      <c r="R694" s="10">
        <f>P694-Q694</f>
        <v>26.909999999999997</v>
      </c>
    </row>
    <row r="695" spans="1:18">
      <c r="A695">
        <v>694</v>
      </c>
      <c r="B695" s="8">
        <v>45508</v>
      </c>
      <c r="C695" t="s">
        <v>8</v>
      </c>
      <c r="D695" t="s">
        <v>50</v>
      </c>
      <c r="E695" t="s">
        <v>41</v>
      </c>
      <c r="F695" t="s">
        <v>52</v>
      </c>
      <c r="G695" t="s">
        <v>44</v>
      </c>
      <c r="H695" t="s">
        <v>44</v>
      </c>
      <c r="I695" t="s">
        <v>44</v>
      </c>
      <c r="J695" t="s">
        <v>49</v>
      </c>
      <c r="K695" s="9">
        <v>17</v>
      </c>
      <c r="L695" s="10">
        <f>IFERROR(VLOOKUP(C695,Parâmetros!$A$5:$D$7,IF(D695="Mensal",2,IF(D695="Trimestral",3,4)),0),0)</f>
        <v>219</v>
      </c>
      <c r="M695" s="10">
        <f>IF(G695="Sim",VLOOKUP("EA Play",Parâmetros!$A$11:$B$13,2,0),0)*K695</f>
        <v>0</v>
      </c>
      <c r="N695" s="10">
        <f>IF(H695="Sim",VLOOKUP("Minecraft Pass",Parâmetros!$A$11:$B$13,2,0),0)*K695</f>
        <v>0</v>
      </c>
      <c r="O695" s="10">
        <f>IF(I695="Sim",VLOOKUP("Call of Duty Pass",Parâmetros!$A$11:$B$13,2,0),0)*K695</f>
        <v>0</v>
      </c>
      <c r="P695" s="10">
        <f>(L695*K695+M695+N695+O695)*IF(F695="Promoção",1-Parâmetros!$B$22,1)</f>
        <v>3723</v>
      </c>
      <c r="Q695" s="10">
        <f>Parâmetros!$B$20*K695</f>
        <v>204</v>
      </c>
      <c r="R695" s="10">
        <f>P695-Q695</f>
        <v>3519</v>
      </c>
    </row>
    <row r="696" spans="1:18">
      <c r="A696">
        <v>695</v>
      </c>
      <c r="B696" s="8">
        <v>45474</v>
      </c>
      <c r="C696" t="s">
        <v>6</v>
      </c>
      <c r="D696" t="s">
        <v>40</v>
      </c>
      <c r="E696" t="s">
        <v>41</v>
      </c>
      <c r="F696" t="s">
        <v>42</v>
      </c>
      <c r="G696" t="s">
        <v>43</v>
      </c>
      <c r="H696" t="s">
        <v>43</v>
      </c>
      <c r="I696" t="s">
        <v>44</v>
      </c>
      <c r="J696" t="s">
        <v>45</v>
      </c>
      <c r="K696" s="9">
        <v>10</v>
      </c>
      <c r="L696" s="10">
        <f>IFERROR(VLOOKUP(C696,Parâmetros!$A$5:$D$7,IF(D696="Mensal",2,IF(D696="Trimestral",3,4)),0),0)</f>
        <v>27</v>
      </c>
      <c r="M696" s="10">
        <f>IF(G696="Sim",VLOOKUP("EA Play",Parâmetros!$A$11:$B$13,2,0),0)*K696</f>
        <v>49.900000000000006</v>
      </c>
      <c r="N696" s="10">
        <f>IF(H696="Sim",VLOOKUP("Minecraft Pass",Parâmetros!$A$11:$B$13,2,0),0)*K696</f>
        <v>39.900000000000006</v>
      </c>
      <c r="O696" s="10">
        <f>IF(I696="Sim",VLOOKUP("Call of Duty Pass",Parâmetros!$A$11:$B$13,2,0),0)*K696</f>
        <v>0</v>
      </c>
      <c r="P696" s="10">
        <f>(L696*K696+M696+N696+O696)*IF(F696="Promoção",1-Parâmetros!$B$22,1)</f>
        <v>359.79999999999995</v>
      </c>
      <c r="Q696" s="10">
        <f>Parâmetros!$B$20*K696</f>
        <v>120</v>
      </c>
      <c r="R696" s="10">
        <f>P696-Q696</f>
        <v>239.79999999999995</v>
      </c>
    </row>
    <row r="697" spans="1:18">
      <c r="A697">
        <v>696</v>
      </c>
      <c r="B697" s="8">
        <v>45415</v>
      </c>
      <c r="C697" t="s">
        <v>6</v>
      </c>
      <c r="D697" t="s">
        <v>50</v>
      </c>
      <c r="E697" t="s">
        <v>51</v>
      </c>
      <c r="F697" t="s">
        <v>54</v>
      </c>
      <c r="G697" t="s">
        <v>44</v>
      </c>
      <c r="H697" t="s">
        <v>44</v>
      </c>
      <c r="I697" t="s">
        <v>44</v>
      </c>
      <c r="J697" t="s">
        <v>49</v>
      </c>
      <c r="K697" s="9">
        <v>24</v>
      </c>
      <c r="L697" s="10">
        <f>IFERROR(VLOOKUP(C697,Parâmetros!$A$5:$D$7,IF(D697="Mensal",2,IF(D697="Trimestral",3,4)),0),0)</f>
        <v>99</v>
      </c>
      <c r="M697" s="10">
        <f>IF(G697="Sim",VLOOKUP("EA Play",Parâmetros!$A$11:$B$13,2,0),0)*K697</f>
        <v>0</v>
      </c>
      <c r="N697" s="10">
        <f>IF(H697="Sim",VLOOKUP("Minecraft Pass",Parâmetros!$A$11:$B$13,2,0),0)*K697</f>
        <v>0</v>
      </c>
      <c r="O697" s="10">
        <f>IF(I697="Sim",VLOOKUP("Call of Duty Pass",Parâmetros!$A$11:$B$13,2,0),0)*K697</f>
        <v>0</v>
      </c>
      <c r="P697" s="10">
        <f>(L697*K697+M697+N697+O697)*IF(F697="Promoção",1-Parâmetros!$B$22,1)</f>
        <v>2138.4</v>
      </c>
      <c r="Q697" s="10">
        <f>Parâmetros!$B$20*K697</f>
        <v>288</v>
      </c>
      <c r="R697" s="10">
        <f>P697-Q697</f>
        <v>1850.4</v>
      </c>
    </row>
    <row r="698" spans="1:18">
      <c r="A698">
        <v>697</v>
      </c>
      <c r="B698" s="8">
        <v>45816</v>
      </c>
      <c r="C698" t="s">
        <v>6</v>
      </c>
      <c r="D698" t="s">
        <v>46</v>
      </c>
      <c r="E698" t="s">
        <v>41</v>
      </c>
      <c r="F698" t="s">
        <v>42</v>
      </c>
      <c r="G698" t="s">
        <v>44</v>
      </c>
      <c r="H698" t="s">
        <v>43</v>
      </c>
      <c r="I698" t="s">
        <v>44</v>
      </c>
      <c r="J698" t="s">
        <v>49</v>
      </c>
      <c r="K698" s="9">
        <v>12</v>
      </c>
      <c r="L698" s="10">
        <f>IFERROR(VLOOKUP(C698,Parâmetros!$A$5:$D$7,IF(D698="Mensal",2,IF(D698="Trimestral",3,4)),0),0)</f>
        <v>9.99</v>
      </c>
      <c r="M698" s="10">
        <f>IF(G698="Sim",VLOOKUP("EA Play",Parâmetros!$A$11:$B$13,2,0),0)*K698</f>
        <v>0</v>
      </c>
      <c r="N698" s="10">
        <f>IF(H698="Sim",VLOOKUP("Minecraft Pass",Parâmetros!$A$11:$B$13,2,0),0)*K698</f>
        <v>47.88</v>
      </c>
      <c r="O698" s="10">
        <f>IF(I698="Sim",VLOOKUP("Call of Duty Pass",Parâmetros!$A$11:$B$13,2,0),0)*K698</f>
        <v>0</v>
      </c>
      <c r="P698" s="10">
        <f>(L698*K698+M698+N698+O698)*IF(F698="Promoção",1-Parâmetros!$B$22,1)</f>
        <v>167.76</v>
      </c>
      <c r="Q698" s="10">
        <f>Parâmetros!$B$20*K698</f>
        <v>144</v>
      </c>
      <c r="R698" s="10">
        <f>P698-Q698</f>
        <v>23.759999999999991</v>
      </c>
    </row>
    <row r="699" spans="1:18">
      <c r="A699">
        <v>698</v>
      </c>
      <c r="B699" s="8">
        <v>45736</v>
      </c>
      <c r="C699" t="s">
        <v>7</v>
      </c>
      <c r="D699" t="s">
        <v>46</v>
      </c>
      <c r="E699" t="s">
        <v>47</v>
      </c>
      <c r="F699" t="s">
        <v>54</v>
      </c>
      <c r="G699" t="s">
        <v>44</v>
      </c>
      <c r="H699" t="s">
        <v>44</v>
      </c>
      <c r="I699" t="s">
        <v>44</v>
      </c>
      <c r="J699" t="s">
        <v>45</v>
      </c>
      <c r="K699" s="9">
        <v>34</v>
      </c>
      <c r="L699" s="10">
        <f>IFERROR(VLOOKUP(C699,Parâmetros!$A$5:$D$7,IF(D699="Mensal",2,IF(D699="Trimestral",3,4)),0),0)</f>
        <v>14.99</v>
      </c>
      <c r="M699" s="10">
        <f>IF(G699="Sim",VLOOKUP("EA Play",Parâmetros!$A$11:$B$13,2,0),0)*K699</f>
        <v>0</v>
      </c>
      <c r="N699" s="10">
        <f>IF(H699="Sim",VLOOKUP("Minecraft Pass",Parâmetros!$A$11:$B$13,2,0),0)*K699</f>
        <v>0</v>
      </c>
      <c r="O699" s="10">
        <f>IF(I699="Sim",VLOOKUP("Call of Duty Pass",Parâmetros!$A$11:$B$13,2,0),0)*K699</f>
        <v>0</v>
      </c>
      <c r="P699" s="10">
        <f>(L699*K699+M699+N699+O699)*IF(F699="Promoção",1-Parâmetros!$B$22,1)</f>
        <v>458.69400000000002</v>
      </c>
      <c r="Q699" s="10">
        <f>Parâmetros!$B$20*K699</f>
        <v>408</v>
      </c>
      <c r="R699" s="10">
        <f>P699-Q699</f>
        <v>50.694000000000017</v>
      </c>
    </row>
    <row r="700" spans="1:18">
      <c r="A700">
        <v>699</v>
      </c>
      <c r="B700" s="8">
        <v>45936</v>
      </c>
      <c r="C700" t="s">
        <v>7</v>
      </c>
      <c r="D700" t="s">
        <v>46</v>
      </c>
      <c r="E700" t="s">
        <v>47</v>
      </c>
      <c r="F700" t="s">
        <v>42</v>
      </c>
      <c r="G700" t="s">
        <v>44</v>
      </c>
      <c r="H700" t="s">
        <v>43</v>
      </c>
      <c r="I700" t="s">
        <v>44</v>
      </c>
      <c r="J700" t="s">
        <v>45</v>
      </c>
      <c r="K700" s="9">
        <v>20</v>
      </c>
      <c r="L700" s="10">
        <f>IFERROR(VLOOKUP(C700,Parâmetros!$A$5:$D$7,IF(D700="Mensal",2,IF(D700="Trimestral",3,4)),0),0)</f>
        <v>14.99</v>
      </c>
      <c r="M700" s="10">
        <f>IF(G700="Sim",VLOOKUP("EA Play",Parâmetros!$A$11:$B$13,2,0),0)*K700</f>
        <v>0</v>
      </c>
      <c r="N700" s="10">
        <f>IF(H700="Sim",VLOOKUP("Minecraft Pass",Parâmetros!$A$11:$B$13,2,0),0)*K700</f>
        <v>79.800000000000011</v>
      </c>
      <c r="O700" s="10">
        <f>IF(I700="Sim",VLOOKUP("Call of Duty Pass",Parâmetros!$A$11:$B$13,2,0),0)*K700</f>
        <v>0</v>
      </c>
      <c r="P700" s="10">
        <f>(L700*K700+M700+N700+O700)*IF(F700="Promoção",1-Parâmetros!$B$22,1)</f>
        <v>379.6</v>
      </c>
      <c r="Q700" s="10">
        <f>Parâmetros!$B$20*K700</f>
        <v>240</v>
      </c>
      <c r="R700" s="10">
        <f>P700-Q700</f>
        <v>139.60000000000002</v>
      </c>
    </row>
    <row r="701" spans="1:18">
      <c r="A701">
        <v>700</v>
      </c>
      <c r="B701" s="8">
        <v>45546</v>
      </c>
      <c r="C701" t="s">
        <v>7</v>
      </c>
      <c r="D701" t="s">
        <v>46</v>
      </c>
      <c r="E701" t="s">
        <v>41</v>
      </c>
      <c r="F701" t="s">
        <v>42</v>
      </c>
      <c r="G701" t="s">
        <v>43</v>
      </c>
      <c r="H701" t="s">
        <v>43</v>
      </c>
      <c r="I701" t="s">
        <v>44</v>
      </c>
      <c r="J701" t="s">
        <v>49</v>
      </c>
      <c r="K701" s="9">
        <v>17</v>
      </c>
      <c r="L701" s="10">
        <f>IFERROR(VLOOKUP(C701,Parâmetros!$A$5:$D$7,IF(D701="Mensal",2,IF(D701="Trimestral",3,4)),0),0)</f>
        <v>14.99</v>
      </c>
      <c r="M701" s="10">
        <f>IF(G701="Sim",VLOOKUP("EA Play",Parâmetros!$A$11:$B$13,2,0),0)*K701</f>
        <v>84.83</v>
      </c>
      <c r="N701" s="10">
        <f>IF(H701="Sim",VLOOKUP("Minecraft Pass",Parâmetros!$A$11:$B$13,2,0),0)*K701</f>
        <v>67.83</v>
      </c>
      <c r="O701" s="10">
        <f>IF(I701="Sim",VLOOKUP("Call of Duty Pass",Parâmetros!$A$11:$B$13,2,0),0)*K701</f>
        <v>0</v>
      </c>
      <c r="P701" s="10">
        <f>(L701*K701+M701+N701+O701)*IF(F701="Promoção",1-Parâmetros!$B$22,1)</f>
        <v>407.49</v>
      </c>
      <c r="Q701" s="10">
        <f>Parâmetros!$B$20*K701</f>
        <v>204</v>
      </c>
      <c r="R701" s="10">
        <f>P701-Q701</f>
        <v>203.49</v>
      </c>
    </row>
    <row r="702" spans="1:18">
      <c r="A702">
        <v>701</v>
      </c>
      <c r="B702" s="8">
        <v>45655</v>
      </c>
      <c r="C702" t="s">
        <v>6</v>
      </c>
      <c r="D702" t="s">
        <v>46</v>
      </c>
      <c r="E702" t="s">
        <v>47</v>
      </c>
      <c r="F702" t="s">
        <v>42</v>
      </c>
      <c r="G702" t="s">
        <v>44</v>
      </c>
      <c r="H702" t="s">
        <v>43</v>
      </c>
      <c r="I702" t="s">
        <v>43</v>
      </c>
      <c r="J702" t="s">
        <v>49</v>
      </c>
      <c r="K702" s="9">
        <v>6</v>
      </c>
      <c r="L702" s="10">
        <f>IFERROR(VLOOKUP(C702,Parâmetros!$A$5:$D$7,IF(D702="Mensal",2,IF(D702="Trimestral",3,4)),0),0)</f>
        <v>9.99</v>
      </c>
      <c r="M702" s="10">
        <f>IF(G702="Sim",VLOOKUP("EA Play",Parâmetros!$A$11:$B$13,2,0),0)*K702</f>
        <v>0</v>
      </c>
      <c r="N702" s="10">
        <f>IF(H702="Sim",VLOOKUP("Minecraft Pass",Parâmetros!$A$11:$B$13,2,0),0)*K702</f>
        <v>23.94</v>
      </c>
      <c r="O702" s="10">
        <f>IF(I702="Sim",VLOOKUP("Call of Duty Pass",Parâmetros!$A$11:$B$13,2,0),0)*K702</f>
        <v>41.94</v>
      </c>
      <c r="P702" s="10">
        <f>(L702*K702+M702+N702+O702)*IF(F702="Promoção",1-Parâmetros!$B$22,1)</f>
        <v>125.82</v>
      </c>
      <c r="Q702" s="10">
        <f>Parâmetros!$B$20*K702</f>
        <v>72</v>
      </c>
      <c r="R702" s="10">
        <f>P702-Q702</f>
        <v>53.819999999999993</v>
      </c>
    </row>
    <row r="703" spans="1:18">
      <c r="A703">
        <v>702</v>
      </c>
      <c r="B703" s="8">
        <v>45718</v>
      </c>
      <c r="C703" t="s">
        <v>8</v>
      </c>
      <c r="D703" t="s">
        <v>46</v>
      </c>
      <c r="E703" t="s">
        <v>47</v>
      </c>
      <c r="F703" t="s">
        <v>48</v>
      </c>
      <c r="G703" t="s">
        <v>44</v>
      </c>
      <c r="H703" t="s">
        <v>44</v>
      </c>
      <c r="I703" t="s">
        <v>43</v>
      </c>
      <c r="J703" t="s">
        <v>45</v>
      </c>
      <c r="K703" s="9">
        <v>12</v>
      </c>
      <c r="L703" s="10">
        <f>IFERROR(VLOOKUP(C703,Parâmetros!$A$5:$D$7,IF(D703="Mensal",2,IF(D703="Trimestral",3,4)),0),0)</f>
        <v>21.99</v>
      </c>
      <c r="M703" s="10">
        <f>IF(G703="Sim",VLOOKUP("EA Play",Parâmetros!$A$11:$B$13,2,0),0)*K703</f>
        <v>0</v>
      </c>
      <c r="N703" s="10">
        <f>IF(H703="Sim",VLOOKUP("Minecraft Pass",Parâmetros!$A$11:$B$13,2,0),0)*K703</f>
        <v>0</v>
      </c>
      <c r="O703" s="10">
        <f>IF(I703="Sim",VLOOKUP("Call of Duty Pass",Parâmetros!$A$11:$B$13,2,0),0)*K703</f>
        <v>83.88</v>
      </c>
      <c r="P703" s="10">
        <f>(L703*K703+M703+N703+O703)*IF(F703="Promoção",1-Parâmetros!$B$22,1)</f>
        <v>347.76</v>
      </c>
      <c r="Q703" s="10">
        <f>Parâmetros!$B$20*K703</f>
        <v>144</v>
      </c>
      <c r="R703" s="10">
        <f>P703-Q703</f>
        <v>203.76</v>
      </c>
    </row>
    <row r="704" spans="1:18">
      <c r="A704">
        <v>703</v>
      </c>
      <c r="B704" s="8">
        <v>45508</v>
      </c>
      <c r="C704" t="s">
        <v>6</v>
      </c>
      <c r="D704" t="s">
        <v>40</v>
      </c>
      <c r="E704" t="s">
        <v>47</v>
      </c>
      <c r="F704" t="s">
        <v>54</v>
      </c>
      <c r="G704" t="s">
        <v>43</v>
      </c>
      <c r="H704" t="s">
        <v>44</v>
      </c>
      <c r="I704" t="s">
        <v>43</v>
      </c>
      <c r="J704" t="s">
        <v>49</v>
      </c>
      <c r="K704" s="9">
        <v>11</v>
      </c>
      <c r="L704" s="10">
        <f>IFERROR(VLOOKUP(C704,Parâmetros!$A$5:$D$7,IF(D704="Mensal",2,IF(D704="Trimestral",3,4)),0),0)</f>
        <v>27</v>
      </c>
      <c r="M704" s="10">
        <f>IF(G704="Sim",VLOOKUP("EA Play",Parâmetros!$A$11:$B$13,2,0),0)*K704</f>
        <v>54.89</v>
      </c>
      <c r="N704" s="10">
        <f>IF(H704="Sim",VLOOKUP("Minecraft Pass",Parâmetros!$A$11:$B$13,2,0),0)*K704</f>
        <v>0</v>
      </c>
      <c r="O704" s="10">
        <f>IF(I704="Sim",VLOOKUP("Call of Duty Pass",Parâmetros!$A$11:$B$13,2,0),0)*K704</f>
        <v>76.89</v>
      </c>
      <c r="P704" s="10">
        <f>(L704*K704+M704+N704+O704)*IF(F704="Promoção",1-Parâmetros!$B$22,1)</f>
        <v>385.90199999999999</v>
      </c>
      <c r="Q704" s="10">
        <f>Parâmetros!$B$20*K704</f>
        <v>132</v>
      </c>
      <c r="R704" s="10">
        <f>P704-Q704</f>
        <v>253.90199999999999</v>
      </c>
    </row>
    <row r="705" spans="1:18">
      <c r="A705">
        <v>704</v>
      </c>
      <c r="B705" s="8">
        <v>45963</v>
      </c>
      <c r="C705" t="s">
        <v>7</v>
      </c>
      <c r="D705" t="s">
        <v>40</v>
      </c>
      <c r="E705" t="s">
        <v>55</v>
      </c>
      <c r="F705" t="s">
        <v>54</v>
      </c>
      <c r="G705" t="s">
        <v>44</v>
      </c>
      <c r="H705" t="s">
        <v>44</v>
      </c>
      <c r="I705" t="s">
        <v>44</v>
      </c>
      <c r="J705" t="s">
        <v>45</v>
      </c>
      <c r="K705" s="9">
        <v>24</v>
      </c>
      <c r="L705" s="10">
        <f>IFERROR(VLOOKUP(C705,Parâmetros!$A$5:$D$7,IF(D705="Mensal",2,IF(D705="Trimestral",3,4)),0),0)</f>
        <v>40</v>
      </c>
      <c r="M705" s="10">
        <f>IF(G705="Sim",VLOOKUP("EA Play",Parâmetros!$A$11:$B$13,2,0),0)*K705</f>
        <v>0</v>
      </c>
      <c r="N705" s="10">
        <f>IF(H705="Sim",VLOOKUP("Minecraft Pass",Parâmetros!$A$11:$B$13,2,0),0)*K705</f>
        <v>0</v>
      </c>
      <c r="O705" s="10">
        <f>IF(I705="Sim",VLOOKUP("Call of Duty Pass",Parâmetros!$A$11:$B$13,2,0),0)*K705</f>
        <v>0</v>
      </c>
      <c r="P705" s="10">
        <f>(L705*K705+M705+N705+O705)*IF(F705="Promoção",1-Parâmetros!$B$22,1)</f>
        <v>864</v>
      </c>
      <c r="Q705" s="10">
        <f>Parâmetros!$B$20*K705</f>
        <v>288</v>
      </c>
      <c r="R705" s="10">
        <f>P705-Q705</f>
        <v>576</v>
      </c>
    </row>
    <row r="706" spans="1:18">
      <c r="A706">
        <v>705</v>
      </c>
      <c r="B706" s="8">
        <v>45999</v>
      </c>
      <c r="C706" t="s">
        <v>7</v>
      </c>
      <c r="D706" t="s">
        <v>40</v>
      </c>
      <c r="E706" t="s">
        <v>41</v>
      </c>
      <c r="F706" t="s">
        <v>42</v>
      </c>
      <c r="G706" t="s">
        <v>43</v>
      </c>
      <c r="H706" t="s">
        <v>43</v>
      </c>
      <c r="I706" t="s">
        <v>43</v>
      </c>
      <c r="J706" t="s">
        <v>49</v>
      </c>
      <c r="K706" s="9">
        <v>13</v>
      </c>
      <c r="L706" s="10">
        <f>IFERROR(VLOOKUP(C706,Parâmetros!$A$5:$D$7,IF(D706="Mensal",2,IF(D706="Trimestral",3,4)),0),0)</f>
        <v>40</v>
      </c>
      <c r="M706" s="10">
        <f>IF(G706="Sim",VLOOKUP("EA Play",Parâmetros!$A$11:$B$13,2,0),0)*K706</f>
        <v>64.87</v>
      </c>
      <c r="N706" s="10">
        <f>IF(H706="Sim",VLOOKUP("Minecraft Pass",Parâmetros!$A$11:$B$13,2,0),0)*K706</f>
        <v>51.870000000000005</v>
      </c>
      <c r="O706" s="10">
        <f>IF(I706="Sim",VLOOKUP("Call of Duty Pass",Parâmetros!$A$11:$B$13,2,0),0)*K706</f>
        <v>90.87</v>
      </c>
      <c r="P706" s="10">
        <f>(L706*K706+M706+N706+O706)*IF(F706="Promoção",1-Parâmetros!$B$22,1)</f>
        <v>727.61</v>
      </c>
      <c r="Q706" s="10">
        <f>Parâmetros!$B$20*K706</f>
        <v>156</v>
      </c>
      <c r="R706" s="10">
        <f>P706-Q706</f>
        <v>571.61</v>
      </c>
    </row>
    <row r="707" spans="1:18">
      <c r="A707">
        <v>706</v>
      </c>
      <c r="B707" s="8">
        <v>45319</v>
      </c>
      <c r="C707" t="s">
        <v>6</v>
      </c>
      <c r="D707" t="s">
        <v>40</v>
      </c>
      <c r="E707" t="s">
        <v>51</v>
      </c>
      <c r="F707" t="s">
        <v>48</v>
      </c>
      <c r="G707" t="s">
        <v>44</v>
      </c>
      <c r="H707" t="s">
        <v>44</v>
      </c>
      <c r="I707" t="s">
        <v>43</v>
      </c>
      <c r="J707" t="s">
        <v>49</v>
      </c>
      <c r="K707" s="9">
        <v>30</v>
      </c>
      <c r="L707" s="10">
        <f>IFERROR(VLOOKUP(C707,Parâmetros!$A$5:$D$7,IF(D707="Mensal",2,IF(D707="Trimestral",3,4)),0),0)</f>
        <v>27</v>
      </c>
      <c r="M707" s="10">
        <f>IF(G707="Sim",VLOOKUP("EA Play",Parâmetros!$A$11:$B$13,2,0),0)*K707</f>
        <v>0</v>
      </c>
      <c r="N707" s="10">
        <f>IF(H707="Sim",VLOOKUP("Minecraft Pass",Parâmetros!$A$11:$B$13,2,0),0)*K707</f>
        <v>0</v>
      </c>
      <c r="O707" s="10">
        <f>IF(I707="Sim",VLOOKUP("Call of Duty Pass",Parâmetros!$A$11:$B$13,2,0),0)*K707</f>
        <v>209.70000000000002</v>
      </c>
      <c r="P707" s="10">
        <f>(L707*K707+M707+N707+O707)*IF(F707="Promoção",1-Parâmetros!$B$22,1)</f>
        <v>1019.7</v>
      </c>
      <c r="Q707" s="10">
        <f>Parâmetros!$B$20*K707</f>
        <v>360</v>
      </c>
      <c r="R707" s="10">
        <f>P707-Q707</f>
        <v>659.7</v>
      </c>
    </row>
    <row r="708" spans="1:18">
      <c r="A708">
        <v>707</v>
      </c>
      <c r="B708" s="8">
        <v>45443</v>
      </c>
      <c r="C708" t="s">
        <v>7</v>
      </c>
      <c r="D708" t="s">
        <v>46</v>
      </c>
      <c r="E708" t="s">
        <v>41</v>
      </c>
      <c r="F708" t="s">
        <v>42</v>
      </c>
      <c r="G708" t="s">
        <v>44</v>
      </c>
      <c r="H708" t="s">
        <v>44</v>
      </c>
      <c r="I708" t="s">
        <v>44</v>
      </c>
      <c r="J708" t="s">
        <v>45</v>
      </c>
      <c r="K708" s="9">
        <v>16</v>
      </c>
      <c r="L708" s="10">
        <f>IFERROR(VLOOKUP(C708,Parâmetros!$A$5:$D$7,IF(D708="Mensal",2,IF(D708="Trimestral",3,4)),0),0)</f>
        <v>14.99</v>
      </c>
      <c r="M708" s="10">
        <f>IF(G708="Sim",VLOOKUP("EA Play",Parâmetros!$A$11:$B$13,2,0),0)*K708</f>
        <v>0</v>
      </c>
      <c r="N708" s="10">
        <f>IF(H708="Sim",VLOOKUP("Minecraft Pass",Parâmetros!$A$11:$B$13,2,0),0)*K708</f>
        <v>0</v>
      </c>
      <c r="O708" s="10">
        <f>IF(I708="Sim",VLOOKUP("Call of Duty Pass",Parâmetros!$A$11:$B$13,2,0),0)*K708</f>
        <v>0</v>
      </c>
      <c r="P708" s="10">
        <f>(L708*K708+M708+N708+O708)*IF(F708="Promoção",1-Parâmetros!$B$22,1)</f>
        <v>239.84</v>
      </c>
      <c r="Q708" s="10">
        <f>Parâmetros!$B$20*K708</f>
        <v>192</v>
      </c>
      <c r="R708" s="10">
        <f>P708-Q708</f>
        <v>47.84</v>
      </c>
    </row>
    <row r="709" spans="1:18">
      <c r="A709">
        <v>708</v>
      </c>
      <c r="B709" s="8">
        <v>45498</v>
      </c>
      <c r="C709" t="s">
        <v>6</v>
      </c>
      <c r="D709" t="s">
        <v>50</v>
      </c>
      <c r="E709" t="s">
        <v>41</v>
      </c>
      <c r="F709" t="s">
        <v>42</v>
      </c>
      <c r="G709" t="s">
        <v>43</v>
      </c>
      <c r="H709" t="s">
        <v>44</v>
      </c>
      <c r="I709" t="s">
        <v>44</v>
      </c>
      <c r="J709" t="s">
        <v>49</v>
      </c>
      <c r="K709" s="9">
        <v>32</v>
      </c>
      <c r="L709" s="10">
        <f>IFERROR(VLOOKUP(C709,Parâmetros!$A$5:$D$7,IF(D709="Mensal",2,IF(D709="Trimestral",3,4)),0),0)</f>
        <v>99</v>
      </c>
      <c r="M709" s="10">
        <f>IF(G709="Sim",VLOOKUP("EA Play",Parâmetros!$A$11:$B$13,2,0),0)*K709</f>
        <v>159.68</v>
      </c>
      <c r="N709" s="10">
        <f>IF(H709="Sim",VLOOKUP("Minecraft Pass",Parâmetros!$A$11:$B$13,2,0),0)*K709</f>
        <v>0</v>
      </c>
      <c r="O709" s="10">
        <f>IF(I709="Sim",VLOOKUP("Call of Duty Pass",Parâmetros!$A$11:$B$13,2,0),0)*K709</f>
        <v>0</v>
      </c>
      <c r="P709" s="10">
        <f>(L709*K709+M709+N709+O709)*IF(F709="Promoção",1-Parâmetros!$B$22,1)</f>
        <v>3327.68</v>
      </c>
      <c r="Q709" s="10">
        <f>Parâmetros!$B$20*K709</f>
        <v>384</v>
      </c>
      <c r="R709" s="10">
        <f>P709-Q709</f>
        <v>2943.68</v>
      </c>
    </row>
    <row r="710" spans="1:18">
      <c r="A710">
        <v>709</v>
      </c>
      <c r="B710" s="8">
        <v>45884</v>
      </c>
      <c r="C710" t="s">
        <v>7</v>
      </c>
      <c r="D710" t="s">
        <v>40</v>
      </c>
      <c r="E710" t="s">
        <v>41</v>
      </c>
      <c r="F710" t="s">
        <v>48</v>
      </c>
      <c r="G710" t="s">
        <v>44</v>
      </c>
      <c r="H710" t="s">
        <v>44</v>
      </c>
      <c r="I710" t="s">
        <v>44</v>
      </c>
      <c r="J710" t="s">
        <v>45</v>
      </c>
      <c r="K710" s="9">
        <v>32</v>
      </c>
      <c r="L710" s="10">
        <f>IFERROR(VLOOKUP(C710,Parâmetros!$A$5:$D$7,IF(D710="Mensal",2,IF(D710="Trimestral",3,4)),0),0)</f>
        <v>40</v>
      </c>
      <c r="M710" s="10">
        <f>IF(G710="Sim",VLOOKUP("EA Play",Parâmetros!$A$11:$B$13,2,0),0)*K710</f>
        <v>0</v>
      </c>
      <c r="N710" s="10">
        <f>IF(H710="Sim",VLOOKUP("Minecraft Pass",Parâmetros!$A$11:$B$13,2,0),0)*K710</f>
        <v>0</v>
      </c>
      <c r="O710" s="10">
        <f>IF(I710="Sim",VLOOKUP("Call of Duty Pass",Parâmetros!$A$11:$B$13,2,0),0)*K710</f>
        <v>0</v>
      </c>
      <c r="P710" s="10">
        <f>(L710*K710+M710+N710+O710)*IF(F710="Promoção",1-Parâmetros!$B$22,1)</f>
        <v>1280</v>
      </c>
      <c r="Q710" s="10">
        <f>Parâmetros!$B$20*K710</f>
        <v>384</v>
      </c>
      <c r="R710" s="10">
        <f>P710-Q710</f>
        <v>896</v>
      </c>
    </row>
    <row r="711" spans="1:18">
      <c r="A711">
        <v>710</v>
      </c>
      <c r="B711" s="8">
        <v>45529</v>
      </c>
      <c r="C711" t="s">
        <v>7</v>
      </c>
      <c r="D711" t="s">
        <v>40</v>
      </c>
      <c r="E711" t="s">
        <v>47</v>
      </c>
      <c r="F711" t="s">
        <v>42</v>
      </c>
      <c r="G711" t="s">
        <v>43</v>
      </c>
      <c r="H711" t="s">
        <v>44</v>
      </c>
      <c r="I711" t="s">
        <v>44</v>
      </c>
      <c r="J711" t="s">
        <v>49</v>
      </c>
      <c r="K711" s="9">
        <v>32</v>
      </c>
      <c r="L711" s="10">
        <f>IFERROR(VLOOKUP(C711,Parâmetros!$A$5:$D$7,IF(D711="Mensal",2,IF(D711="Trimestral",3,4)),0),0)</f>
        <v>40</v>
      </c>
      <c r="M711" s="10">
        <f>IF(G711="Sim",VLOOKUP("EA Play",Parâmetros!$A$11:$B$13,2,0),0)*K711</f>
        <v>159.68</v>
      </c>
      <c r="N711" s="10">
        <f>IF(H711="Sim",VLOOKUP("Minecraft Pass",Parâmetros!$A$11:$B$13,2,0),0)*K711</f>
        <v>0</v>
      </c>
      <c r="O711" s="10">
        <f>IF(I711="Sim",VLOOKUP("Call of Duty Pass",Parâmetros!$A$11:$B$13,2,0),0)*K711</f>
        <v>0</v>
      </c>
      <c r="P711" s="10">
        <f>(L711*K711+M711+N711+O711)*IF(F711="Promoção",1-Parâmetros!$B$22,1)</f>
        <v>1439.68</v>
      </c>
      <c r="Q711" s="10">
        <f>Parâmetros!$B$20*K711</f>
        <v>384</v>
      </c>
      <c r="R711" s="10">
        <f>P711-Q711</f>
        <v>1055.68</v>
      </c>
    </row>
    <row r="712" spans="1:18">
      <c r="A712">
        <v>711</v>
      </c>
      <c r="B712" s="8">
        <v>45929</v>
      </c>
      <c r="C712" t="s">
        <v>8</v>
      </c>
      <c r="D712" t="s">
        <v>46</v>
      </c>
      <c r="E712" t="s">
        <v>51</v>
      </c>
      <c r="F712" t="s">
        <v>42</v>
      </c>
      <c r="G712" t="s">
        <v>43</v>
      </c>
      <c r="H712" t="s">
        <v>43</v>
      </c>
      <c r="I712" t="s">
        <v>44</v>
      </c>
      <c r="J712" t="s">
        <v>49</v>
      </c>
      <c r="K712" s="9">
        <v>15</v>
      </c>
      <c r="L712" s="10">
        <f>IFERROR(VLOOKUP(C712,Parâmetros!$A$5:$D$7,IF(D712="Mensal",2,IF(D712="Trimestral",3,4)),0),0)</f>
        <v>21.99</v>
      </c>
      <c r="M712" s="10">
        <f>IF(G712="Sim",VLOOKUP("EA Play",Parâmetros!$A$11:$B$13,2,0),0)*K712</f>
        <v>74.850000000000009</v>
      </c>
      <c r="N712" s="10">
        <f>IF(H712="Sim",VLOOKUP("Minecraft Pass",Parâmetros!$A$11:$B$13,2,0),0)*K712</f>
        <v>59.85</v>
      </c>
      <c r="O712" s="10">
        <f>IF(I712="Sim",VLOOKUP("Call of Duty Pass",Parâmetros!$A$11:$B$13,2,0),0)*K712</f>
        <v>0</v>
      </c>
      <c r="P712" s="10">
        <f>(L712*K712+M712+N712+O712)*IF(F712="Promoção",1-Parâmetros!$B$22,1)</f>
        <v>464.55</v>
      </c>
      <c r="Q712" s="10">
        <f>Parâmetros!$B$20*K712</f>
        <v>180</v>
      </c>
      <c r="R712" s="10">
        <f>P712-Q712</f>
        <v>284.55</v>
      </c>
    </row>
    <row r="713" spans="1:18">
      <c r="A713">
        <v>712</v>
      </c>
      <c r="B713" s="8">
        <v>45893</v>
      </c>
      <c r="C713" t="s">
        <v>8</v>
      </c>
      <c r="D713" t="s">
        <v>46</v>
      </c>
      <c r="E713" t="s">
        <v>47</v>
      </c>
      <c r="F713" t="s">
        <v>54</v>
      </c>
      <c r="G713" t="s">
        <v>44</v>
      </c>
      <c r="H713" t="s">
        <v>43</v>
      </c>
      <c r="I713" t="s">
        <v>43</v>
      </c>
      <c r="J713" t="s">
        <v>45</v>
      </c>
      <c r="K713" s="9">
        <v>27</v>
      </c>
      <c r="L713" s="10">
        <f>IFERROR(VLOOKUP(C713,Parâmetros!$A$5:$D$7,IF(D713="Mensal",2,IF(D713="Trimestral",3,4)),0),0)</f>
        <v>21.99</v>
      </c>
      <c r="M713" s="10">
        <f>IF(G713="Sim",VLOOKUP("EA Play",Parâmetros!$A$11:$B$13,2,0),0)*K713</f>
        <v>0</v>
      </c>
      <c r="N713" s="10">
        <f>IF(H713="Sim",VLOOKUP("Minecraft Pass",Parâmetros!$A$11:$B$13,2,0),0)*K713</f>
        <v>107.73</v>
      </c>
      <c r="O713" s="10">
        <f>IF(I713="Sim",VLOOKUP("Call of Duty Pass",Parâmetros!$A$11:$B$13,2,0),0)*K713</f>
        <v>188.73000000000002</v>
      </c>
      <c r="P713" s="10">
        <f>(L713*K713+M713+N713+O713)*IF(F713="Promoção",1-Parâmetros!$B$22,1)</f>
        <v>801.17099999999994</v>
      </c>
      <c r="Q713" s="10">
        <f>Parâmetros!$B$20*K713</f>
        <v>324</v>
      </c>
      <c r="R713" s="10">
        <f>P713-Q713</f>
        <v>477.17099999999994</v>
      </c>
    </row>
    <row r="714" spans="1:18">
      <c r="A714">
        <v>713</v>
      </c>
      <c r="B714" s="8">
        <v>45981</v>
      </c>
      <c r="C714" t="s">
        <v>7</v>
      </c>
      <c r="D714" t="s">
        <v>46</v>
      </c>
      <c r="E714" t="s">
        <v>47</v>
      </c>
      <c r="F714" t="s">
        <v>54</v>
      </c>
      <c r="G714" t="s">
        <v>43</v>
      </c>
      <c r="H714" t="s">
        <v>43</v>
      </c>
      <c r="I714" t="s">
        <v>44</v>
      </c>
      <c r="J714" t="s">
        <v>49</v>
      </c>
      <c r="K714" s="9">
        <v>31</v>
      </c>
      <c r="L714" s="10">
        <f>IFERROR(VLOOKUP(C714,Parâmetros!$A$5:$D$7,IF(D714="Mensal",2,IF(D714="Trimestral",3,4)),0),0)</f>
        <v>14.99</v>
      </c>
      <c r="M714" s="10">
        <f>IF(G714="Sim",VLOOKUP("EA Play",Parâmetros!$A$11:$B$13,2,0),0)*K714</f>
        <v>154.69</v>
      </c>
      <c r="N714" s="10">
        <f>IF(H714="Sim",VLOOKUP("Minecraft Pass",Parâmetros!$A$11:$B$13,2,0),0)*K714</f>
        <v>123.69000000000001</v>
      </c>
      <c r="O714" s="10">
        <f>IF(I714="Sim",VLOOKUP("Call of Duty Pass",Parâmetros!$A$11:$B$13,2,0),0)*K714</f>
        <v>0</v>
      </c>
      <c r="P714" s="10">
        <f>(L714*K714+M714+N714+O714)*IF(F714="Promoção",1-Parâmetros!$B$22,1)</f>
        <v>668.76300000000003</v>
      </c>
      <c r="Q714" s="10">
        <f>Parâmetros!$B$20*K714</f>
        <v>372</v>
      </c>
      <c r="R714" s="10">
        <f>P714-Q714</f>
        <v>296.76300000000003</v>
      </c>
    </row>
    <row r="715" spans="1:18">
      <c r="A715">
        <v>714</v>
      </c>
      <c r="B715" s="8">
        <v>45424</v>
      </c>
      <c r="C715" t="s">
        <v>6</v>
      </c>
      <c r="D715" t="s">
        <v>46</v>
      </c>
      <c r="E715" t="s">
        <v>47</v>
      </c>
      <c r="F715" t="s">
        <v>52</v>
      </c>
      <c r="G715" t="s">
        <v>44</v>
      </c>
      <c r="H715" t="s">
        <v>44</v>
      </c>
      <c r="I715" t="s">
        <v>43</v>
      </c>
      <c r="J715" t="s">
        <v>45</v>
      </c>
      <c r="K715" s="9">
        <v>2</v>
      </c>
      <c r="L715" s="10">
        <f>IFERROR(VLOOKUP(C715,Parâmetros!$A$5:$D$7,IF(D715="Mensal",2,IF(D715="Trimestral",3,4)),0),0)</f>
        <v>9.99</v>
      </c>
      <c r="M715" s="10">
        <f>IF(G715="Sim",VLOOKUP("EA Play",Parâmetros!$A$11:$B$13,2,0),0)*K715</f>
        <v>0</v>
      </c>
      <c r="N715" s="10">
        <f>IF(H715="Sim",VLOOKUP("Minecraft Pass",Parâmetros!$A$11:$B$13,2,0),0)*K715</f>
        <v>0</v>
      </c>
      <c r="O715" s="10">
        <f>IF(I715="Sim",VLOOKUP("Call of Duty Pass",Parâmetros!$A$11:$B$13,2,0),0)*K715</f>
        <v>13.98</v>
      </c>
      <c r="P715" s="10">
        <f>(L715*K715+M715+N715+O715)*IF(F715="Promoção",1-Parâmetros!$B$22,1)</f>
        <v>33.96</v>
      </c>
      <c r="Q715" s="10">
        <f>Parâmetros!$B$20*K715</f>
        <v>24</v>
      </c>
      <c r="R715" s="10">
        <f>P715-Q715</f>
        <v>9.9600000000000009</v>
      </c>
    </row>
    <row r="716" spans="1:18">
      <c r="A716">
        <v>715</v>
      </c>
      <c r="B716" s="8">
        <v>45659</v>
      </c>
      <c r="C716" t="s">
        <v>8</v>
      </c>
      <c r="D716" t="s">
        <v>46</v>
      </c>
      <c r="E716" t="s">
        <v>41</v>
      </c>
      <c r="F716" t="s">
        <v>54</v>
      </c>
      <c r="G716" t="s">
        <v>44</v>
      </c>
      <c r="H716" t="s">
        <v>43</v>
      </c>
      <c r="I716" t="s">
        <v>43</v>
      </c>
      <c r="J716" t="s">
        <v>49</v>
      </c>
      <c r="K716" s="9">
        <v>15</v>
      </c>
      <c r="L716" s="10">
        <f>IFERROR(VLOOKUP(C716,Parâmetros!$A$5:$D$7,IF(D716="Mensal",2,IF(D716="Trimestral",3,4)),0),0)</f>
        <v>21.99</v>
      </c>
      <c r="M716" s="10">
        <f>IF(G716="Sim",VLOOKUP("EA Play",Parâmetros!$A$11:$B$13,2,0),0)*K716</f>
        <v>0</v>
      </c>
      <c r="N716" s="10">
        <f>IF(H716="Sim",VLOOKUP("Minecraft Pass",Parâmetros!$A$11:$B$13,2,0),0)*K716</f>
        <v>59.85</v>
      </c>
      <c r="O716" s="10">
        <f>IF(I716="Sim",VLOOKUP("Call of Duty Pass",Parâmetros!$A$11:$B$13,2,0),0)*K716</f>
        <v>104.85000000000001</v>
      </c>
      <c r="P716" s="10">
        <f>(L716*K716+M716+N716+O716)*IF(F716="Promoção",1-Parâmetros!$B$22,1)</f>
        <v>445.09500000000003</v>
      </c>
      <c r="Q716" s="10">
        <f>Parâmetros!$B$20*K716</f>
        <v>180</v>
      </c>
      <c r="R716" s="10">
        <f>P716-Q716</f>
        <v>265.09500000000003</v>
      </c>
    </row>
    <row r="717" spans="1:18">
      <c r="A717">
        <v>716</v>
      </c>
      <c r="B717" s="8">
        <v>45415</v>
      </c>
      <c r="C717" t="s">
        <v>7</v>
      </c>
      <c r="D717" t="s">
        <v>46</v>
      </c>
      <c r="E717" t="s">
        <v>53</v>
      </c>
      <c r="F717" t="s">
        <v>52</v>
      </c>
      <c r="G717" t="s">
        <v>44</v>
      </c>
      <c r="H717" t="s">
        <v>44</v>
      </c>
      <c r="I717" t="s">
        <v>44</v>
      </c>
      <c r="J717" t="s">
        <v>45</v>
      </c>
      <c r="K717" s="9">
        <v>33</v>
      </c>
      <c r="L717" s="10">
        <f>IFERROR(VLOOKUP(C717,Parâmetros!$A$5:$D$7,IF(D717="Mensal",2,IF(D717="Trimestral",3,4)),0),0)</f>
        <v>14.99</v>
      </c>
      <c r="M717" s="10">
        <f>IF(G717="Sim",VLOOKUP("EA Play",Parâmetros!$A$11:$B$13,2,0),0)*K717</f>
        <v>0</v>
      </c>
      <c r="N717" s="10">
        <f>IF(H717="Sim",VLOOKUP("Minecraft Pass",Parâmetros!$A$11:$B$13,2,0),0)*K717</f>
        <v>0</v>
      </c>
      <c r="O717" s="10">
        <f>IF(I717="Sim",VLOOKUP("Call of Duty Pass",Parâmetros!$A$11:$B$13,2,0),0)*K717</f>
        <v>0</v>
      </c>
      <c r="P717" s="10">
        <f>(L717*K717+M717+N717+O717)*IF(F717="Promoção",1-Parâmetros!$B$22,1)</f>
        <v>494.67</v>
      </c>
      <c r="Q717" s="10">
        <f>Parâmetros!$B$20*K717</f>
        <v>396</v>
      </c>
      <c r="R717" s="10">
        <f>P717-Q717</f>
        <v>98.670000000000016</v>
      </c>
    </row>
    <row r="718" spans="1:18">
      <c r="A718">
        <v>717</v>
      </c>
      <c r="B718" s="8">
        <v>45910</v>
      </c>
      <c r="C718" t="s">
        <v>7</v>
      </c>
      <c r="D718" t="s">
        <v>40</v>
      </c>
      <c r="E718" t="s">
        <v>55</v>
      </c>
      <c r="F718" t="s">
        <v>48</v>
      </c>
      <c r="G718" t="s">
        <v>44</v>
      </c>
      <c r="H718" t="s">
        <v>44</v>
      </c>
      <c r="I718" t="s">
        <v>43</v>
      </c>
      <c r="J718" t="s">
        <v>49</v>
      </c>
      <c r="K718" s="9">
        <v>7</v>
      </c>
      <c r="L718" s="10">
        <f>IFERROR(VLOOKUP(C718,Parâmetros!$A$5:$D$7,IF(D718="Mensal",2,IF(D718="Trimestral",3,4)),0),0)</f>
        <v>40</v>
      </c>
      <c r="M718" s="10">
        <f>IF(G718="Sim",VLOOKUP("EA Play",Parâmetros!$A$11:$B$13,2,0),0)*K718</f>
        <v>0</v>
      </c>
      <c r="N718" s="10">
        <f>IF(H718="Sim",VLOOKUP("Minecraft Pass",Parâmetros!$A$11:$B$13,2,0),0)*K718</f>
        <v>0</v>
      </c>
      <c r="O718" s="10">
        <f>IF(I718="Sim",VLOOKUP("Call of Duty Pass",Parâmetros!$A$11:$B$13,2,0),0)*K718</f>
        <v>48.93</v>
      </c>
      <c r="P718" s="10">
        <f>(L718*K718+M718+N718+O718)*IF(F718="Promoção",1-Parâmetros!$B$22,1)</f>
        <v>328.93</v>
      </c>
      <c r="Q718" s="10">
        <f>Parâmetros!$B$20*K718</f>
        <v>84</v>
      </c>
      <c r="R718" s="10">
        <f>P718-Q718</f>
        <v>244.93</v>
      </c>
    </row>
    <row r="719" spans="1:18">
      <c r="A719">
        <v>718</v>
      </c>
      <c r="B719" s="8">
        <v>45867</v>
      </c>
      <c r="C719" t="s">
        <v>6</v>
      </c>
      <c r="D719" t="s">
        <v>46</v>
      </c>
      <c r="E719" t="s">
        <v>47</v>
      </c>
      <c r="F719" t="s">
        <v>54</v>
      </c>
      <c r="G719" t="s">
        <v>44</v>
      </c>
      <c r="H719" t="s">
        <v>43</v>
      </c>
      <c r="I719" t="s">
        <v>43</v>
      </c>
      <c r="J719" t="s">
        <v>49</v>
      </c>
      <c r="K719" s="9">
        <v>33</v>
      </c>
      <c r="L719" s="10">
        <f>IFERROR(VLOOKUP(C719,Parâmetros!$A$5:$D$7,IF(D719="Mensal",2,IF(D719="Trimestral",3,4)),0),0)</f>
        <v>9.99</v>
      </c>
      <c r="M719" s="10">
        <f>IF(G719="Sim",VLOOKUP("EA Play",Parâmetros!$A$11:$B$13,2,0),0)*K719</f>
        <v>0</v>
      </c>
      <c r="N719" s="10">
        <f>IF(H719="Sim",VLOOKUP("Minecraft Pass",Parâmetros!$A$11:$B$13,2,0),0)*K719</f>
        <v>131.67000000000002</v>
      </c>
      <c r="O719" s="10">
        <f>IF(I719="Sim",VLOOKUP("Call of Duty Pass",Parâmetros!$A$11:$B$13,2,0),0)*K719</f>
        <v>230.67000000000002</v>
      </c>
      <c r="P719" s="10">
        <f>(L719*K719+M719+N719+O719)*IF(F719="Promoção",1-Parâmetros!$B$22,1)</f>
        <v>622.80899999999997</v>
      </c>
      <c r="Q719" s="10">
        <f>Parâmetros!$B$20*K719</f>
        <v>396</v>
      </c>
      <c r="R719" s="10">
        <f>P719-Q719</f>
        <v>226.80899999999997</v>
      </c>
    </row>
    <row r="720" spans="1:18">
      <c r="A720">
        <v>719</v>
      </c>
      <c r="B720" s="8">
        <v>45802</v>
      </c>
      <c r="C720" t="s">
        <v>7</v>
      </c>
      <c r="D720" t="s">
        <v>46</v>
      </c>
      <c r="E720" t="s">
        <v>51</v>
      </c>
      <c r="F720" t="s">
        <v>42</v>
      </c>
      <c r="G720" t="s">
        <v>43</v>
      </c>
      <c r="H720" t="s">
        <v>44</v>
      </c>
      <c r="I720" t="s">
        <v>44</v>
      </c>
      <c r="J720" t="s">
        <v>49</v>
      </c>
      <c r="K720" s="9">
        <v>1</v>
      </c>
      <c r="L720" s="10">
        <f>IFERROR(VLOOKUP(C720,Parâmetros!$A$5:$D$7,IF(D720="Mensal",2,IF(D720="Trimestral",3,4)),0),0)</f>
        <v>14.99</v>
      </c>
      <c r="M720" s="10">
        <f>IF(G720="Sim",VLOOKUP("EA Play",Parâmetros!$A$11:$B$13,2,0),0)*K720</f>
        <v>4.99</v>
      </c>
      <c r="N720" s="10">
        <f>IF(H720="Sim",VLOOKUP("Minecraft Pass",Parâmetros!$A$11:$B$13,2,0),0)*K720</f>
        <v>0</v>
      </c>
      <c r="O720" s="10">
        <f>IF(I720="Sim",VLOOKUP("Call of Duty Pass",Parâmetros!$A$11:$B$13,2,0),0)*K720</f>
        <v>0</v>
      </c>
      <c r="P720" s="10">
        <f>(L720*K720+M720+N720+O720)*IF(F720="Promoção",1-Parâmetros!$B$22,1)</f>
        <v>19.98</v>
      </c>
      <c r="Q720" s="10">
        <f>Parâmetros!$B$20*K720</f>
        <v>12</v>
      </c>
      <c r="R720" s="10">
        <f>P720-Q720</f>
        <v>7.98</v>
      </c>
    </row>
    <row r="721" spans="1:18">
      <c r="A721">
        <v>720</v>
      </c>
      <c r="B721" s="8">
        <v>45543</v>
      </c>
      <c r="C721" t="s">
        <v>8</v>
      </c>
      <c r="D721" t="s">
        <v>46</v>
      </c>
      <c r="E721" t="s">
        <v>41</v>
      </c>
      <c r="F721" t="s">
        <v>42</v>
      </c>
      <c r="G721" t="s">
        <v>43</v>
      </c>
      <c r="H721" t="s">
        <v>44</v>
      </c>
      <c r="I721" t="s">
        <v>44</v>
      </c>
      <c r="J721" t="s">
        <v>45</v>
      </c>
      <c r="K721" s="9">
        <v>16</v>
      </c>
      <c r="L721" s="10">
        <f>IFERROR(VLOOKUP(C721,Parâmetros!$A$5:$D$7,IF(D721="Mensal",2,IF(D721="Trimestral",3,4)),0),0)</f>
        <v>21.99</v>
      </c>
      <c r="M721" s="10">
        <f>IF(G721="Sim",VLOOKUP("EA Play",Parâmetros!$A$11:$B$13,2,0),0)*K721</f>
        <v>79.84</v>
      </c>
      <c r="N721" s="10">
        <f>IF(H721="Sim",VLOOKUP("Minecraft Pass",Parâmetros!$A$11:$B$13,2,0),0)*K721</f>
        <v>0</v>
      </c>
      <c r="O721" s="10">
        <f>IF(I721="Sim",VLOOKUP("Call of Duty Pass",Parâmetros!$A$11:$B$13,2,0),0)*K721</f>
        <v>0</v>
      </c>
      <c r="P721" s="10">
        <f>(L721*K721+M721+N721+O721)*IF(F721="Promoção",1-Parâmetros!$B$22,1)</f>
        <v>431.67999999999995</v>
      </c>
      <c r="Q721" s="10">
        <f>Parâmetros!$B$20*K721</f>
        <v>192</v>
      </c>
      <c r="R721" s="10">
        <f>P721-Q721</f>
        <v>239.67999999999995</v>
      </c>
    </row>
    <row r="722" spans="1:18">
      <c r="A722">
        <v>721</v>
      </c>
      <c r="B722" s="8">
        <v>45447</v>
      </c>
      <c r="C722" t="s">
        <v>8</v>
      </c>
      <c r="D722" t="s">
        <v>40</v>
      </c>
      <c r="E722" t="s">
        <v>51</v>
      </c>
      <c r="F722" t="s">
        <v>42</v>
      </c>
      <c r="G722" t="s">
        <v>43</v>
      </c>
      <c r="H722" t="s">
        <v>44</v>
      </c>
      <c r="I722" t="s">
        <v>44</v>
      </c>
      <c r="J722" t="s">
        <v>45</v>
      </c>
      <c r="K722" s="9">
        <v>34</v>
      </c>
      <c r="L722" s="10">
        <f>IFERROR(VLOOKUP(C722,Parâmetros!$A$5:$D$7,IF(D722="Mensal",2,IF(D722="Trimestral",3,4)),0),0)</f>
        <v>59</v>
      </c>
      <c r="M722" s="10">
        <f>IF(G722="Sim",VLOOKUP("EA Play",Parâmetros!$A$11:$B$13,2,0),0)*K722</f>
        <v>169.66</v>
      </c>
      <c r="N722" s="10">
        <f>IF(H722="Sim",VLOOKUP("Minecraft Pass",Parâmetros!$A$11:$B$13,2,0),0)*K722</f>
        <v>0</v>
      </c>
      <c r="O722" s="10">
        <f>IF(I722="Sim",VLOOKUP("Call of Duty Pass",Parâmetros!$A$11:$B$13,2,0),0)*K722</f>
        <v>0</v>
      </c>
      <c r="P722" s="10">
        <f>(L722*K722+M722+N722+O722)*IF(F722="Promoção",1-Parâmetros!$B$22,1)</f>
        <v>2175.66</v>
      </c>
      <c r="Q722" s="10">
        <f>Parâmetros!$B$20*K722</f>
        <v>408</v>
      </c>
      <c r="R722" s="10">
        <f>P722-Q722</f>
        <v>1767.6599999999999</v>
      </c>
    </row>
    <row r="723" spans="1:18">
      <c r="A723">
        <v>722</v>
      </c>
      <c r="B723" s="8">
        <v>45990</v>
      </c>
      <c r="C723" t="s">
        <v>6</v>
      </c>
      <c r="D723" t="s">
        <v>46</v>
      </c>
      <c r="E723" t="s">
        <v>41</v>
      </c>
      <c r="F723" t="s">
        <v>42</v>
      </c>
      <c r="G723" t="s">
        <v>44</v>
      </c>
      <c r="H723" t="s">
        <v>44</v>
      </c>
      <c r="I723" t="s">
        <v>43</v>
      </c>
      <c r="J723" t="s">
        <v>49</v>
      </c>
      <c r="K723" s="9">
        <v>11</v>
      </c>
      <c r="L723" s="10">
        <f>IFERROR(VLOOKUP(C723,Parâmetros!$A$5:$D$7,IF(D723="Mensal",2,IF(D723="Trimestral",3,4)),0),0)</f>
        <v>9.99</v>
      </c>
      <c r="M723" s="10">
        <f>IF(G723="Sim",VLOOKUP("EA Play",Parâmetros!$A$11:$B$13,2,0),0)*K723</f>
        <v>0</v>
      </c>
      <c r="N723" s="10">
        <f>IF(H723="Sim",VLOOKUP("Minecraft Pass",Parâmetros!$A$11:$B$13,2,0),0)*K723</f>
        <v>0</v>
      </c>
      <c r="O723" s="10">
        <f>IF(I723="Sim",VLOOKUP("Call of Duty Pass",Parâmetros!$A$11:$B$13,2,0),0)*K723</f>
        <v>76.89</v>
      </c>
      <c r="P723" s="10">
        <f>(L723*K723+M723+N723+O723)*IF(F723="Promoção",1-Parâmetros!$B$22,1)</f>
        <v>186.78</v>
      </c>
      <c r="Q723" s="10">
        <f>Parâmetros!$B$20*K723</f>
        <v>132</v>
      </c>
      <c r="R723" s="10">
        <f>P723-Q723</f>
        <v>54.78</v>
      </c>
    </row>
    <row r="724" spans="1:18">
      <c r="A724">
        <v>723</v>
      </c>
      <c r="B724" s="8">
        <v>45736</v>
      </c>
      <c r="C724" t="s">
        <v>6</v>
      </c>
      <c r="D724" t="s">
        <v>40</v>
      </c>
      <c r="E724" t="s">
        <v>51</v>
      </c>
      <c r="F724" t="s">
        <v>52</v>
      </c>
      <c r="G724" t="s">
        <v>44</v>
      </c>
      <c r="H724" t="s">
        <v>43</v>
      </c>
      <c r="I724" t="s">
        <v>44</v>
      </c>
      <c r="J724" t="s">
        <v>45</v>
      </c>
      <c r="K724" s="9">
        <v>34</v>
      </c>
      <c r="L724" s="10">
        <f>IFERROR(VLOOKUP(C724,Parâmetros!$A$5:$D$7,IF(D724="Mensal",2,IF(D724="Trimestral",3,4)),0),0)</f>
        <v>27</v>
      </c>
      <c r="M724" s="10">
        <f>IF(G724="Sim",VLOOKUP("EA Play",Parâmetros!$A$11:$B$13,2,0),0)*K724</f>
        <v>0</v>
      </c>
      <c r="N724" s="10">
        <f>IF(H724="Sim",VLOOKUP("Minecraft Pass",Parâmetros!$A$11:$B$13,2,0),0)*K724</f>
        <v>135.66</v>
      </c>
      <c r="O724" s="10">
        <f>IF(I724="Sim",VLOOKUP("Call of Duty Pass",Parâmetros!$A$11:$B$13,2,0),0)*K724</f>
        <v>0</v>
      </c>
      <c r="P724" s="10">
        <f>(L724*K724+M724+N724+O724)*IF(F724="Promoção",1-Parâmetros!$B$22,1)</f>
        <v>1053.6600000000001</v>
      </c>
      <c r="Q724" s="10">
        <f>Parâmetros!$B$20*K724</f>
        <v>408</v>
      </c>
      <c r="R724" s="10">
        <f>P724-Q724</f>
        <v>645.66000000000008</v>
      </c>
    </row>
    <row r="725" spans="1:18">
      <c r="A725">
        <v>724</v>
      </c>
      <c r="B725" s="8">
        <v>45594</v>
      </c>
      <c r="C725" t="s">
        <v>7</v>
      </c>
      <c r="D725" t="s">
        <v>50</v>
      </c>
      <c r="E725" t="s">
        <v>51</v>
      </c>
      <c r="F725" t="s">
        <v>54</v>
      </c>
      <c r="G725" t="s">
        <v>44</v>
      </c>
      <c r="H725" t="s">
        <v>43</v>
      </c>
      <c r="I725" t="s">
        <v>44</v>
      </c>
      <c r="J725" t="s">
        <v>45</v>
      </c>
      <c r="K725" s="9">
        <v>34</v>
      </c>
      <c r="L725" s="10">
        <f>IFERROR(VLOOKUP(C725,Parâmetros!$A$5:$D$7,IF(D725="Mensal",2,IF(D725="Trimestral",3,4)),0),0)</f>
        <v>149</v>
      </c>
      <c r="M725" s="10">
        <f>IF(G725="Sim",VLOOKUP("EA Play",Parâmetros!$A$11:$B$13,2,0),0)*K725</f>
        <v>0</v>
      </c>
      <c r="N725" s="10">
        <f>IF(H725="Sim",VLOOKUP("Minecraft Pass",Parâmetros!$A$11:$B$13,2,0),0)*K725</f>
        <v>135.66</v>
      </c>
      <c r="O725" s="10">
        <f>IF(I725="Sim",VLOOKUP("Call of Duty Pass",Parâmetros!$A$11:$B$13,2,0),0)*K725</f>
        <v>0</v>
      </c>
      <c r="P725" s="10">
        <f>(L725*K725+M725+N725+O725)*IF(F725="Promoção",1-Parâmetros!$B$22,1)</f>
        <v>4681.4939999999997</v>
      </c>
      <c r="Q725" s="10">
        <f>Parâmetros!$B$20*K725</f>
        <v>408</v>
      </c>
      <c r="R725" s="10">
        <f>P725-Q725</f>
        <v>4273.4939999999997</v>
      </c>
    </row>
    <row r="726" spans="1:18">
      <c r="A726">
        <v>725</v>
      </c>
      <c r="B726" s="8">
        <v>45917</v>
      </c>
      <c r="C726" t="s">
        <v>8</v>
      </c>
      <c r="D726" t="s">
        <v>40</v>
      </c>
      <c r="E726" t="s">
        <v>47</v>
      </c>
      <c r="F726" t="s">
        <v>42</v>
      </c>
      <c r="G726" t="s">
        <v>44</v>
      </c>
      <c r="H726" t="s">
        <v>44</v>
      </c>
      <c r="I726" t="s">
        <v>44</v>
      </c>
      <c r="J726" t="s">
        <v>45</v>
      </c>
      <c r="K726" s="9">
        <v>26</v>
      </c>
      <c r="L726" s="10">
        <f>IFERROR(VLOOKUP(C726,Parâmetros!$A$5:$D$7,IF(D726="Mensal",2,IF(D726="Trimestral",3,4)),0),0)</f>
        <v>59</v>
      </c>
      <c r="M726" s="10">
        <f>IF(G726="Sim",VLOOKUP("EA Play",Parâmetros!$A$11:$B$13,2,0),0)*K726</f>
        <v>0</v>
      </c>
      <c r="N726" s="10">
        <f>IF(H726="Sim",VLOOKUP("Minecraft Pass",Parâmetros!$A$11:$B$13,2,0),0)*K726</f>
        <v>0</v>
      </c>
      <c r="O726" s="10">
        <f>IF(I726="Sim",VLOOKUP("Call of Duty Pass",Parâmetros!$A$11:$B$13,2,0),0)*K726</f>
        <v>0</v>
      </c>
      <c r="P726" s="10">
        <f>(L726*K726+M726+N726+O726)*IF(F726="Promoção",1-Parâmetros!$B$22,1)</f>
        <v>1534</v>
      </c>
      <c r="Q726" s="10">
        <f>Parâmetros!$B$20*K726</f>
        <v>312</v>
      </c>
      <c r="R726" s="10">
        <f>P726-Q726</f>
        <v>1222</v>
      </c>
    </row>
    <row r="727" spans="1:18">
      <c r="A727">
        <v>726</v>
      </c>
      <c r="B727" s="8">
        <v>45494</v>
      </c>
      <c r="C727" t="s">
        <v>8</v>
      </c>
      <c r="D727" t="s">
        <v>46</v>
      </c>
      <c r="E727" t="s">
        <v>47</v>
      </c>
      <c r="F727" t="s">
        <v>42</v>
      </c>
      <c r="G727" t="s">
        <v>44</v>
      </c>
      <c r="H727" t="s">
        <v>44</v>
      </c>
      <c r="I727" t="s">
        <v>44</v>
      </c>
      <c r="J727" t="s">
        <v>49</v>
      </c>
      <c r="K727" s="9">
        <v>14</v>
      </c>
      <c r="L727" s="10">
        <f>IFERROR(VLOOKUP(C727,Parâmetros!$A$5:$D$7,IF(D727="Mensal",2,IF(D727="Trimestral",3,4)),0),0)</f>
        <v>21.99</v>
      </c>
      <c r="M727" s="10">
        <f>IF(G727="Sim",VLOOKUP("EA Play",Parâmetros!$A$11:$B$13,2,0),0)*K727</f>
        <v>0</v>
      </c>
      <c r="N727" s="10">
        <f>IF(H727="Sim",VLOOKUP("Minecraft Pass",Parâmetros!$A$11:$B$13,2,0),0)*K727</f>
        <v>0</v>
      </c>
      <c r="O727" s="10">
        <f>IF(I727="Sim",VLOOKUP("Call of Duty Pass",Parâmetros!$A$11:$B$13,2,0),0)*K727</f>
        <v>0</v>
      </c>
      <c r="P727" s="10">
        <f>(L727*K727+M727+N727+O727)*IF(F727="Promoção",1-Parâmetros!$B$22,1)</f>
        <v>307.85999999999996</v>
      </c>
      <c r="Q727" s="10">
        <f>Parâmetros!$B$20*K727</f>
        <v>168</v>
      </c>
      <c r="R727" s="10">
        <f>P727-Q727</f>
        <v>139.85999999999996</v>
      </c>
    </row>
    <row r="728" spans="1:18">
      <c r="A728">
        <v>727</v>
      </c>
      <c r="B728" s="8">
        <v>45387</v>
      </c>
      <c r="C728" t="s">
        <v>7</v>
      </c>
      <c r="D728" t="s">
        <v>46</v>
      </c>
      <c r="E728" t="s">
        <v>41</v>
      </c>
      <c r="F728" t="s">
        <v>52</v>
      </c>
      <c r="G728" t="s">
        <v>43</v>
      </c>
      <c r="H728" t="s">
        <v>44</v>
      </c>
      <c r="I728" t="s">
        <v>44</v>
      </c>
      <c r="J728" t="s">
        <v>49</v>
      </c>
      <c r="K728" s="9">
        <v>20</v>
      </c>
      <c r="L728" s="10">
        <f>IFERROR(VLOOKUP(C728,Parâmetros!$A$5:$D$7,IF(D728="Mensal",2,IF(D728="Trimestral",3,4)),0),0)</f>
        <v>14.99</v>
      </c>
      <c r="M728" s="10">
        <f>IF(G728="Sim",VLOOKUP("EA Play",Parâmetros!$A$11:$B$13,2,0),0)*K728</f>
        <v>99.800000000000011</v>
      </c>
      <c r="N728" s="10">
        <f>IF(H728="Sim",VLOOKUP("Minecraft Pass",Parâmetros!$A$11:$B$13,2,0),0)*K728</f>
        <v>0</v>
      </c>
      <c r="O728" s="10">
        <f>IF(I728="Sim",VLOOKUP("Call of Duty Pass",Parâmetros!$A$11:$B$13,2,0),0)*K728</f>
        <v>0</v>
      </c>
      <c r="P728" s="10">
        <f>(L728*K728+M728+N728+O728)*IF(F728="Promoção",1-Parâmetros!$B$22,1)</f>
        <v>399.6</v>
      </c>
      <c r="Q728" s="10">
        <f>Parâmetros!$B$20*K728</f>
        <v>240</v>
      </c>
      <c r="R728" s="10">
        <f>P728-Q728</f>
        <v>159.60000000000002</v>
      </c>
    </row>
    <row r="729" spans="1:18">
      <c r="A729">
        <v>728</v>
      </c>
      <c r="B729" s="8">
        <v>45724</v>
      </c>
      <c r="C729" t="s">
        <v>8</v>
      </c>
      <c r="D729" t="s">
        <v>46</v>
      </c>
      <c r="E729" t="s">
        <v>41</v>
      </c>
      <c r="F729" t="s">
        <v>42</v>
      </c>
      <c r="G729" t="s">
        <v>44</v>
      </c>
      <c r="H729" t="s">
        <v>43</v>
      </c>
      <c r="I729" t="s">
        <v>43</v>
      </c>
      <c r="J729" t="s">
        <v>45</v>
      </c>
      <c r="K729" s="9">
        <v>8</v>
      </c>
      <c r="L729" s="10">
        <f>IFERROR(VLOOKUP(C729,Parâmetros!$A$5:$D$7,IF(D729="Mensal",2,IF(D729="Trimestral",3,4)),0),0)</f>
        <v>21.99</v>
      </c>
      <c r="M729" s="10">
        <f>IF(G729="Sim",VLOOKUP("EA Play",Parâmetros!$A$11:$B$13,2,0),0)*K729</f>
        <v>0</v>
      </c>
      <c r="N729" s="10">
        <f>IF(H729="Sim",VLOOKUP("Minecraft Pass",Parâmetros!$A$11:$B$13,2,0),0)*K729</f>
        <v>31.92</v>
      </c>
      <c r="O729" s="10">
        <f>IF(I729="Sim",VLOOKUP("Call of Duty Pass",Parâmetros!$A$11:$B$13,2,0),0)*K729</f>
        <v>55.92</v>
      </c>
      <c r="P729" s="10">
        <f>(L729*K729+M729+N729+O729)*IF(F729="Promoção",1-Parâmetros!$B$22,1)</f>
        <v>263.76</v>
      </c>
      <c r="Q729" s="10">
        <f>Parâmetros!$B$20*K729</f>
        <v>96</v>
      </c>
      <c r="R729" s="10">
        <f>P729-Q729</f>
        <v>167.76</v>
      </c>
    </row>
    <row r="730" spans="1:18">
      <c r="A730">
        <v>729</v>
      </c>
      <c r="B730" s="8">
        <v>45751</v>
      </c>
      <c r="C730" t="s">
        <v>6</v>
      </c>
      <c r="D730" t="s">
        <v>40</v>
      </c>
      <c r="E730" t="s">
        <v>47</v>
      </c>
      <c r="F730" t="s">
        <v>54</v>
      </c>
      <c r="G730" t="s">
        <v>44</v>
      </c>
      <c r="H730" t="s">
        <v>44</v>
      </c>
      <c r="I730" t="s">
        <v>44</v>
      </c>
      <c r="J730" t="s">
        <v>45</v>
      </c>
      <c r="K730" s="9">
        <v>35</v>
      </c>
      <c r="L730" s="10">
        <f>IFERROR(VLOOKUP(C730,Parâmetros!$A$5:$D$7,IF(D730="Mensal",2,IF(D730="Trimestral",3,4)),0),0)</f>
        <v>27</v>
      </c>
      <c r="M730" s="10">
        <f>IF(G730="Sim",VLOOKUP("EA Play",Parâmetros!$A$11:$B$13,2,0),0)*K730</f>
        <v>0</v>
      </c>
      <c r="N730" s="10">
        <f>IF(H730="Sim",VLOOKUP("Minecraft Pass",Parâmetros!$A$11:$B$13,2,0),0)*K730</f>
        <v>0</v>
      </c>
      <c r="O730" s="10">
        <f>IF(I730="Sim",VLOOKUP("Call of Duty Pass",Parâmetros!$A$11:$B$13,2,0),0)*K730</f>
        <v>0</v>
      </c>
      <c r="P730" s="10">
        <f>(L730*K730+M730+N730+O730)*IF(F730="Promoção",1-Parâmetros!$B$22,1)</f>
        <v>850.5</v>
      </c>
      <c r="Q730" s="10">
        <f>Parâmetros!$B$20*K730</f>
        <v>420</v>
      </c>
      <c r="R730" s="10">
        <f>P730-Q730</f>
        <v>430.5</v>
      </c>
    </row>
    <row r="731" spans="1:18">
      <c r="A731">
        <v>730</v>
      </c>
      <c r="B731" s="8">
        <v>45901</v>
      </c>
      <c r="C731" t="s">
        <v>6</v>
      </c>
      <c r="D731" t="s">
        <v>46</v>
      </c>
      <c r="E731" t="s">
        <v>51</v>
      </c>
      <c r="F731" t="s">
        <v>54</v>
      </c>
      <c r="G731" t="s">
        <v>44</v>
      </c>
      <c r="H731" t="s">
        <v>43</v>
      </c>
      <c r="I731" t="s">
        <v>44</v>
      </c>
      <c r="J731" t="s">
        <v>45</v>
      </c>
      <c r="K731" s="9">
        <v>7</v>
      </c>
      <c r="L731" s="10">
        <f>IFERROR(VLOOKUP(C731,Parâmetros!$A$5:$D$7,IF(D731="Mensal",2,IF(D731="Trimestral",3,4)),0),0)</f>
        <v>9.99</v>
      </c>
      <c r="M731" s="10">
        <f>IF(G731="Sim",VLOOKUP("EA Play",Parâmetros!$A$11:$B$13,2,0),0)*K731</f>
        <v>0</v>
      </c>
      <c r="N731" s="10">
        <f>IF(H731="Sim",VLOOKUP("Minecraft Pass",Parâmetros!$A$11:$B$13,2,0),0)*K731</f>
        <v>27.93</v>
      </c>
      <c r="O731" s="10">
        <f>IF(I731="Sim",VLOOKUP("Call of Duty Pass",Parâmetros!$A$11:$B$13,2,0),0)*K731</f>
        <v>0</v>
      </c>
      <c r="P731" s="10">
        <f>(L731*K731+M731+N731+O731)*IF(F731="Promoção",1-Parâmetros!$B$22,1)</f>
        <v>88.074000000000012</v>
      </c>
      <c r="Q731" s="10">
        <f>Parâmetros!$B$20*K731</f>
        <v>84</v>
      </c>
      <c r="R731" s="10">
        <f>P731-Q731</f>
        <v>4.0740000000000123</v>
      </c>
    </row>
    <row r="732" spans="1:18">
      <c r="A732">
        <v>731</v>
      </c>
      <c r="B732" s="8">
        <v>45627</v>
      </c>
      <c r="C732" t="s">
        <v>7</v>
      </c>
      <c r="D732" t="s">
        <v>46</v>
      </c>
      <c r="E732" t="s">
        <v>51</v>
      </c>
      <c r="F732" t="s">
        <v>48</v>
      </c>
      <c r="G732" t="s">
        <v>43</v>
      </c>
      <c r="H732" t="s">
        <v>44</v>
      </c>
      <c r="I732" t="s">
        <v>44</v>
      </c>
      <c r="J732" t="s">
        <v>49</v>
      </c>
      <c r="K732" s="9">
        <v>28</v>
      </c>
      <c r="L732" s="10">
        <f>IFERROR(VLOOKUP(C732,Parâmetros!$A$5:$D$7,IF(D732="Mensal",2,IF(D732="Trimestral",3,4)),0),0)</f>
        <v>14.99</v>
      </c>
      <c r="M732" s="10">
        <f>IF(G732="Sim",VLOOKUP("EA Play",Parâmetros!$A$11:$B$13,2,0),0)*K732</f>
        <v>139.72</v>
      </c>
      <c r="N732" s="10">
        <f>IF(H732="Sim",VLOOKUP("Minecraft Pass",Parâmetros!$A$11:$B$13,2,0),0)*K732</f>
        <v>0</v>
      </c>
      <c r="O732" s="10">
        <f>IF(I732="Sim",VLOOKUP("Call of Duty Pass",Parâmetros!$A$11:$B$13,2,0),0)*K732</f>
        <v>0</v>
      </c>
      <c r="P732" s="10">
        <f>(L732*K732+M732+N732+O732)*IF(F732="Promoção",1-Parâmetros!$B$22,1)</f>
        <v>559.44000000000005</v>
      </c>
      <c r="Q732" s="10">
        <f>Parâmetros!$B$20*K732</f>
        <v>336</v>
      </c>
      <c r="R732" s="10">
        <f>P732-Q732</f>
        <v>223.44000000000005</v>
      </c>
    </row>
    <row r="733" spans="1:18">
      <c r="A733">
        <v>732</v>
      </c>
      <c r="B733" s="8">
        <v>45425</v>
      </c>
      <c r="C733" t="s">
        <v>7</v>
      </c>
      <c r="D733" t="s">
        <v>46</v>
      </c>
      <c r="E733" t="s">
        <v>41</v>
      </c>
      <c r="F733" t="s">
        <v>48</v>
      </c>
      <c r="G733" t="s">
        <v>44</v>
      </c>
      <c r="H733" t="s">
        <v>44</v>
      </c>
      <c r="I733" t="s">
        <v>44</v>
      </c>
      <c r="J733" t="s">
        <v>49</v>
      </c>
      <c r="K733" s="9">
        <v>32</v>
      </c>
      <c r="L733" s="10">
        <f>IFERROR(VLOOKUP(C733,Parâmetros!$A$5:$D$7,IF(D733="Mensal",2,IF(D733="Trimestral",3,4)),0),0)</f>
        <v>14.99</v>
      </c>
      <c r="M733" s="10">
        <f>IF(G733="Sim",VLOOKUP("EA Play",Parâmetros!$A$11:$B$13,2,0),0)*K733</f>
        <v>0</v>
      </c>
      <c r="N733" s="10">
        <f>IF(H733="Sim",VLOOKUP("Minecraft Pass",Parâmetros!$A$11:$B$13,2,0),0)*K733</f>
        <v>0</v>
      </c>
      <c r="O733" s="10">
        <f>IF(I733="Sim",VLOOKUP("Call of Duty Pass",Parâmetros!$A$11:$B$13,2,0),0)*K733</f>
        <v>0</v>
      </c>
      <c r="P733" s="10">
        <f>(L733*K733+M733+N733+O733)*IF(F733="Promoção",1-Parâmetros!$B$22,1)</f>
        <v>479.68</v>
      </c>
      <c r="Q733" s="10">
        <f>Parâmetros!$B$20*K733</f>
        <v>384</v>
      </c>
      <c r="R733" s="10">
        <f>P733-Q733</f>
        <v>95.68</v>
      </c>
    </row>
    <row r="734" spans="1:18">
      <c r="A734">
        <v>733</v>
      </c>
      <c r="B734" s="8">
        <v>45943</v>
      </c>
      <c r="C734" t="s">
        <v>7</v>
      </c>
      <c r="D734" t="s">
        <v>46</v>
      </c>
      <c r="E734" t="s">
        <v>55</v>
      </c>
      <c r="F734" t="s">
        <v>48</v>
      </c>
      <c r="G734" t="s">
        <v>44</v>
      </c>
      <c r="H734" t="s">
        <v>44</v>
      </c>
      <c r="I734" t="s">
        <v>43</v>
      </c>
      <c r="J734" t="s">
        <v>49</v>
      </c>
      <c r="K734" s="9">
        <v>30</v>
      </c>
      <c r="L734" s="10">
        <f>IFERROR(VLOOKUP(C734,Parâmetros!$A$5:$D$7,IF(D734="Mensal",2,IF(D734="Trimestral",3,4)),0),0)</f>
        <v>14.99</v>
      </c>
      <c r="M734" s="10">
        <f>IF(G734="Sim",VLOOKUP("EA Play",Parâmetros!$A$11:$B$13,2,0),0)*K734</f>
        <v>0</v>
      </c>
      <c r="N734" s="10">
        <f>IF(H734="Sim",VLOOKUP("Minecraft Pass",Parâmetros!$A$11:$B$13,2,0),0)*K734</f>
        <v>0</v>
      </c>
      <c r="O734" s="10">
        <f>IF(I734="Sim",VLOOKUP("Call of Duty Pass",Parâmetros!$A$11:$B$13,2,0),0)*K734</f>
        <v>209.70000000000002</v>
      </c>
      <c r="P734" s="10">
        <f>(L734*K734+M734+N734+O734)*IF(F734="Promoção",1-Parâmetros!$B$22,1)</f>
        <v>659.4</v>
      </c>
      <c r="Q734" s="10">
        <f>Parâmetros!$B$20*K734</f>
        <v>360</v>
      </c>
      <c r="R734" s="10">
        <f>P734-Q734</f>
        <v>299.39999999999998</v>
      </c>
    </row>
    <row r="735" spans="1:18">
      <c r="A735">
        <v>734</v>
      </c>
      <c r="B735" s="8">
        <v>45424</v>
      </c>
      <c r="C735" t="s">
        <v>8</v>
      </c>
      <c r="D735" t="s">
        <v>40</v>
      </c>
      <c r="E735" t="s">
        <v>47</v>
      </c>
      <c r="F735" t="s">
        <v>52</v>
      </c>
      <c r="G735" t="s">
        <v>44</v>
      </c>
      <c r="H735" t="s">
        <v>43</v>
      </c>
      <c r="I735" t="s">
        <v>43</v>
      </c>
      <c r="J735" t="s">
        <v>45</v>
      </c>
      <c r="K735" s="9">
        <v>8</v>
      </c>
      <c r="L735" s="10">
        <f>IFERROR(VLOOKUP(C735,Parâmetros!$A$5:$D$7,IF(D735="Mensal",2,IF(D735="Trimestral",3,4)),0),0)</f>
        <v>59</v>
      </c>
      <c r="M735" s="10">
        <f>IF(G735="Sim",VLOOKUP("EA Play",Parâmetros!$A$11:$B$13,2,0),0)*K735</f>
        <v>0</v>
      </c>
      <c r="N735" s="10">
        <f>IF(H735="Sim",VLOOKUP("Minecraft Pass",Parâmetros!$A$11:$B$13,2,0),0)*K735</f>
        <v>31.92</v>
      </c>
      <c r="O735" s="10">
        <f>IF(I735="Sim",VLOOKUP("Call of Duty Pass",Parâmetros!$A$11:$B$13,2,0),0)*K735</f>
        <v>55.92</v>
      </c>
      <c r="P735" s="10">
        <f>(L735*K735+M735+N735+O735)*IF(F735="Promoção",1-Parâmetros!$B$22,1)</f>
        <v>559.84</v>
      </c>
      <c r="Q735" s="10">
        <f>Parâmetros!$B$20*K735</f>
        <v>96</v>
      </c>
      <c r="R735" s="10">
        <f>P735-Q735</f>
        <v>463.84000000000003</v>
      </c>
    </row>
    <row r="736" spans="1:18">
      <c r="A736">
        <v>735</v>
      </c>
      <c r="B736" s="8">
        <v>45908</v>
      </c>
      <c r="C736" t="s">
        <v>8</v>
      </c>
      <c r="D736" t="s">
        <v>46</v>
      </c>
      <c r="E736" t="s">
        <v>41</v>
      </c>
      <c r="F736" t="s">
        <v>42</v>
      </c>
      <c r="G736" t="s">
        <v>44</v>
      </c>
      <c r="H736" t="s">
        <v>43</v>
      </c>
      <c r="I736" t="s">
        <v>44</v>
      </c>
      <c r="J736" t="s">
        <v>49</v>
      </c>
      <c r="K736" s="9">
        <v>19</v>
      </c>
      <c r="L736" s="10">
        <f>IFERROR(VLOOKUP(C736,Parâmetros!$A$5:$D$7,IF(D736="Mensal",2,IF(D736="Trimestral",3,4)),0),0)</f>
        <v>21.99</v>
      </c>
      <c r="M736" s="10">
        <f>IF(G736="Sim",VLOOKUP("EA Play",Parâmetros!$A$11:$B$13,2,0),0)*K736</f>
        <v>0</v>
      </c>
      <c r="N736" s="10">
        <f>IF(H736="Sim",VLOOKUP("Minecraft Pass",Parâmetros!$A$11:$B$13,2,0),0)*K736</f>
        <v>75.81</v>
      </c>
      <c r="O736" s="10">
        <f>IF(I736="Sim",VLOOKUP("Call of Duty Pass",Parâmetros!$A$11:$B$13,2,0),0)*K736</f>
        <v>0</v>
      </c>
      <c r="P736" s="10">
        <f>(L736*K736+M736+N736+O736)*IF(F736="Promoção",1-Parâmetros!$B$22,1)</f>
        <v>493.61999999999995</v>
      </c>
      <c r="Q736" s="10">
        <f>Parâmetros!$B$20*K736</f>
        <v>228</v>
      </c>
      <c r="R736" s="10">
        <f>P736-Q736</f>
        <v>265.61999999999995</v>
      </c>
    </row>
    <row r="737" spans="1:18">
      <c r="A737">
        <v>736</v>
      </c>
      <c r="B737" s="8">
        <v>45789</v>
      </c>
      <c r="C737" t="s">
        <v>6</v>
      </c>
      <c r="D737" t="s">
        <v>46</v>
      </c>
      <c r="E737" t="s">
        <v>51</v>
      </c>
      <c r="F737" t="s">
        <v>48</v>
      </c>
      <c r="G737" t="s">
        <v>44</v>
      </c>
      <c r="H737" t="s">
        <v>43</v>
      </c>
      <c r="I737" t="s">
        <v>43</v>
      </c>
      <c r="J737" t="s">
        <v>49</v>
      </c>
      <c r="K737" s="9">
        <v>32</v>
      </c>
      <c r="L737" s="10">
        <f>IFERROR(VLOOKUP(C737,Parâmetros!$A$5:$D$7,IF(D737="Mensal",2,IF(D737="Trimestral",3,4)),0),0)</f>
        <v>9.99</v>
      </c>
      <c r="M737" s="10">
        <f>IF(G737="Sim",VLOOKUP("EA Play",Parâmetros!$A$11:$B$13,2,0),0)*K737</f>
        <v>0</v>
      </c>
      <c r="N737" s="10">
        <f>IF(H737="Sim",VLOOKUP("Minecraft Pass",Parâmetros!$A$11:$B$13,2,0),0)*K737</f>
        <v>127.68</v>
      </c>
      <c r="O737" s="10">
        <f>IF(I737="Sim",VLOOKUP("Call of Duty Pass",Parâmetros!$A$11:$B$13,2,0),0)*K737</f>
        <v>223.68</v>
      </c>
      <c r="P737" s="10">
        <f>(L737*K737+M737+N737+O737)*IF(F737="Promoção",1-Parâmetros!$B$22,1)</f>
        <v>671.04</v>
      </c>
      <c r="Q737" s="10">
        <f>Parâmetros!$B$20*K737</f>
        <v>384</v>
      </c>
      <c r="R737" s="10">
        <f>P737-Q737</f>
        <v>287.03999999999996</v>
      </c>
    </row>
    <row r="738" spans="1:18">
      <c r="A738">
        <v>737</v>
      </c>
      <c r="B738" s="8">
        <v>45294</v>
      </c>
      <c r="C738" t="s">
        <v>6</v>
      </c>
      <c r="D738" t="s">
        <v>46</v>
      </c>
      <c r="E738" t="s">
        <v>55</v>
      </c>
      <c r="F738" t="s">
        <v>48</v>
      </c>
      <c r="G738" t="s">
        <v>44</v>
      </c>
      <c r="H738" t="s">
        <v>44</v>
      </c>
      <c r="I738" t="s">
        <v>44</v>
      </c>
      <c r="J738" t="s">
        <v>45</v>
      </c>
      <c r="K738" s="9">
        <v>31</v>
      </c>
      <c r="L738" s="10">
        <f>IFERROR(VLOOKUP(C738,Parâmetros!$A$5:$D$7,IF(D738="Mensal",2,IF(D738="Trimestral",3,4)),0),0)</f>
        <v>9.99</v>
      </c>
      <c r="M738" s="10">
        <f>IF(G738="Sim",VLOOKUP("EA Play",Parâmetros!$A$11:$B$13,2,0),0)*K738</f>
        <v>0</v>
      </c>
      <c r="N738" s="10">
        <f>IF(H738="Sim",VLOOKUP("Minecraft Pass",Parâmetros!$A$11:$B$13,2,0),0)*K738</f>
        <v>0</v>
      </c>
      <c r="O738" s="10">
        <f>IF(I738="Sim",VLOOKUP("Call of Duty Pass",Parâmetros!$A$11:$B$13,2,0),0)*K738</f>
        <v>0</v>
      </c>
      <c r="P738" s="10">
        <f>(L738*K738+M738+N738+O738)*IF(F738="Promoção",1-Parâmetros!$B$22,1)</f>
        <v>309.69</v>
      </c>
      <c r="Q738" s="10">
        <f>Parâmetros!$B$20*K738</f>
        <v>372</v>
      </c>
      <c r="R738" s="10">
        <f>P738-Q738</f>
        <v>-62.31</v>
      </c>
    </row>
    <row r="739" spans="1:18">
      <c r="A739">
        <v>738</v>
      </c>
      <c r="B739" s="8">
        <v>45912</v>
      </c>
      <c r="C739" t="s">
        <v>6</v>
      </c>
      <c r="D739" t="s">
        <v>46</v>
      </c>
      <c r="E739" t="s">
        <v>47</v>
      </c>
      <c r="F739" t="s">
        <v>52</v>
      </c>
      <c r="G739" t="s">
        <v>44</v>
      </c>
      <c r="H739" t="s">
        <v>43</v>
      </c>
      <c r="I739" t="s">
        <v>44</v>
      </c>
      <c r="J739" t="s">
        <v>49</v>
      </c>
      <c r="K739" s="9">
        <v>27</v>
      </c>
      <c r="L739" s="10">
        <f>IFERROR(VLOOKUP(C739,Parâmetros!$A$5:$D$7,IF(D739="Mensal",2,IF(D739="Trimestral",3,4)),0),0)</f>
        <v>9.99</v>
      </c>
      <c r="M739" s="10">
        <f>IF(G739="Sim",VLOOKUP("EA Play",Parâmetros!$A$11:$B$13,2,0),0)*K739</f>
        <v>0</v>
      </c>
      <c r="N739" s="10">
        <f>IF(H739="Sim",VLOOKUP("Minecraft Pass",Parâmetros!$A$11:$B$13,2,0),0)*K739</f>
        <v>107.73</v>
      </c>
      <c r="O739" s="10">
        <f>IF(I739="Sim",VLOOKUP("Call of Duty Pass",Parâmetros!$A$11:$B$13,2,0),0)*K739</f>
        <v>0</v>
      </c>
      <c r="P739" s="10">
        <f>(L739*K739+M739+N739+O739)*IF(F739="Promoção",1-Parâmetros!$B$22,1)</f>
        <v>377.46000000000004</v>
      </c>
      <c r="Q739" s="10">
        <f>Parâmetros!$B$20*K739</f>
        <v>324</v>
      </c>
      <c r="R739" s="10">
        <f>P739-Q739</f>
        <v>53.460000000000036</v>
      </c>
    </row>
    <row r="740" spans="1:18">
      <c r="A740">
        <v>739</v>
      </c>
      <c r="B740" s="8">
        <v>45688</v>
      </c>
      <c r="C740" t="s">
        <v>6</v>
      </c>
      <c r="D740" t="s">
        <v>46</v>
      </c>
      <c r="E740" t="s">
        <v>47</v>
      </c>
      <c r="F740" t="s">
        <v>54</v>
      </c>
      <c r="G740" t="s">
        <v>44</v>
      </c>
      <c r="H740" t="s">
        <v>44</v>
      </c>
      <c r="I740" t="s">
        <v>44</v>
      </c>
      <c r="J740" t="s">
        <v>45</v>
      </c>
      <c r="K740" s="9">
        <v>2</v>
      </c>
      <c r="L740" s="10">
        <f>IFERROR(VLOOKUP(C740,Parâmetros!$A$5:$D$7,IF(D740="Mensal",2,IF(D740="Trimestral",3,4)),0),0)</f>
        <v>9.99</v>
      </c>
      <c r="M740" s="10">
        <f>IF(G740="Sim",VLOOKUP("EA Play",Parâmetros!$A$11:$B$13,2,0),0)*K740</f>
        <v>0</v>
      </c>
      <c r="N740" s="10">
        <f>IF(H740="Sim",VLOOKUP("Minecraft Pass",Parâmetros!$A$11:$B$13,2,0),0)*K740</f>
        <v>0</v>
      </c>
      <c r="O740" s="10">
        <f>IF(I740="Sim",VLOOKUP("Call of Duty Pass",Parâmetros!$A$11:$B$13,2,0),0)*K740</f>
        <v>0</v>
      </c>
      <c r="P740" s="10">
        <f>(L740*K740+M740+N740+O740)*IF(F740="Promoção",1-Parâmetros!$B$22,1)</f>
        <v>17.981999999999999</v>
      </c>
      <c r="Q740" s="10">
        <f>Parâmetros!$B$20*K740</f>
        <v>24</v>
      </c>
      <c r="R740" s="10">
        <f>P740-Q740</f>
        <v>-6.0180000000000007</v>
      </c>
    </row>
    <row r="741" spans="1:18">
      <c r="A741">
        <v>740</v>
      </c>
      <c r="B741" s="8">
        <v>45877</v>
      </c>
      <c r="C741" t="s">
        <v>7</v>
      </c>
      <c r="D741" t="s">
        <v>40</v>
      </c>
      <c r="E741" t="s">
        <v>41</v>
      </c>
      <c r="F741" t="s">
        <v>52</v>
      </c>
      <c r="G741" t="s">
        <v>44</v>
      </c>
      <c r="H741" t="s">
        <v>43</v>
      </c>
      <c r="I741" t="s">
        <v>44</v>
      </c>
      <c r="J741" t="s">
        <v>49</v>
      </c>
      <c r="K741" s="9">
        <v>4</v>
      </c>
      <c r="L741" s="10">
        <f>IFERROR(VLOOKUP(C741,Parâmetros!$A$5:$D$7,IF(D741="Mensal",2,IF(D741="Trimestral",3,4)),0),0)</f>
        <v>40</v>
      </c>
      <c r="M741" s="10">
        <f>IF(G741="Sim",VLOOKUP("EA Play",Parâmetros!$A$11:$B$13,2,0),0)*K741</f>
        <v>0</v>
      </c>
      <c r="N741" s="10">
        <f>IF(H741="Sim",VLOOKUP("Minecraft Pass",Parâmetros!$A$11:$B$13,2,0),0)*K741</f>
        <v>15.96</v>
      </c>
      <c r="O741" s="10">
        <f>IF(I741="Sim",VLOOKUP("Call of Duty Pass",Parâmetros!$A$11:$B$13,2,0),0)*K741</f>
        <v>0</v>
      </c>
      <c r="P741" s="10">
        <f>(L741*K741+M741+N741+O741)*IF(F741="Promoção",1-Parâmetros!$B$22,1)</f>
        <v>175.96</v>
      </c>
      <c r="Q741" s="10">
        <f>Parâmetros!$B$20*K741</f>
        <v>48</v>
      </c>
      <c r="R741" s="10">
        <f>P741-Q741</f>
        <v>127.96000000000001</v>
      </c>
    </row>
    <row r="742" spans="1:18">
      <c r="A742">
        <v>741</v>
      </c>
      <c r="B742" s="8">
        <v>45875</v>
      </c>
      <c r="C742" t="s">
        <v>7</v>
      </c>
      <c r="D742" t="s">
        <v>40</v>
      </c>
      <c r="E742" t="s">
        <v>47</v>
      </c>
      <c r="F742" t="s">
        <v>42</v>
      </c>
      <c r="G742" t="s">
        <v>44</v>
      </c>
      <c r="H742" t="s">
        <v>44</v>
      </c>
      <c r="I742" t="s">
        <v>44</v>
      </c>
      <c r="J742" t="s">
        <v>49</v>
      </c>
      <c r="K742" s="9">
        <v>14</v>
      </c>
      <c r="L742" s="10">
        <f>IFERROR(VLOOKUP(C742,Parâmetros!$A$5:$D$7,IF(D742="Mensal",2,IF(D742="Trimestral",3,4)),0),0)</f>
        <v>40</v>
      </c>
      <c r="M742" s="10">
        <f>IF(G742="Sim",VLOOKUP("EA Play",Parâmetros!$A$11:$B$13,2,0),0)*K742</f>
        <v>0</v>
      </c>
      <c r="N742" s="10">
        <f>IF(H742="Sim",VLOOKUP("Minecraft Pass",Parâmetros!$A$11:$B$13,2,0),0)*K742</f>
        <v>0</v>
      </c>
      <c r="O742" s="10">
        <f>IF(I742="Sim",VLOOKUP("Call of Duty Pass",Parâmetros!$A$11:$B$13,2,0),0)*K742</f>
        <v>0</v>
      </c>
      <c r="P742" s="10">
        <f>(L742*K742+M742+N742+O742)*IF(F742="Promoção",1-Parâmetros!$B$22,1)</f>
        <v>560</v>
      </c>
      <c r="Q742" s="10">
        <f>Parâmetros!$B$20*K742</f>
        <v>168</v>
      </c>
      <c r="R742" s="10">
        <f>P742-Q742</f>
        <v>392</v>
      </c>
    </row>
    <row r="743" spans="1:18">
      <c r="A743">
        <v>742</v>
      </c>
      <c r="B743" s="8">
        <v>45543</v>
      </c>
      <c r="C743" t="s">
        <v>8</v>
      </c>
      <c r="D743" t="s">
        <v>50</v>
      </c>
      <c r="E743" t="s">
        <v>47</v>
      </c>
      <c r="F743" t="s">
        <v>42</v>
      </c>
      <c r="G743" t="s">
        <v>44</v>
      </c>
      <c r="H743" t="s">
        <v>43</v>
      </c>
      <c r="I743" t="s">
        <v>44</v>
      </c>
      <c r="J743" t="s">
        <v>49</v>
      </c>
      <c r="K743" s="9">
        <v>2</v>
      </c>
      <c r="L743" s="10">
        <f>IFERROR(VLOOKUP(C743,Parâmetros!$A$5:$D$7,IF(D743="Mensal",2,IF(D743="Trimestral",3,4)),0),0)</f>
        <v>219</v>
      </c>
      <c r="M743" s="10">
        <f>IF(G743="Sim",VLOOKUP("EA Play",Parâmetros!$A$11:$B$13,2,0),0)*K743</f>
        <v>0</v>
      </c>
      <c r="N743" s="10">
        <f>IF(H743="Sim",VLOOKUP("Minecraft Pass",Parâmetros!$A$11:$B$13,2,0),0)*K743</f>
        <v>7.98</v>
      </c>
      <c r="O743" s="10">
        <f>IF(I743="Sim",VLOOKUP("Call of Duty Pass",Parâmetros!$A$11:$B$13,2,0),0)*K743</f>
        <v>0</v>
      </c>
      <c r="P743" s="10">
        <f>(L743*K743+M743+N743+O743)*IF(F743="Promoção",1-Parâmetros!$B$22,1)</f>
        <v>445.98</v>
      </c>
      <c r="Q743" s="10">
        <f>Parâmetros!$B$20*K743</f>
        <v>24</v>
      </c>
      <c r="R743" s="10">
        <f>P743-Q743</f>
        <v>421.98</v>
      </c>
    </row>
    <row r="744" spans="1:18">
      <c r="A744">
        <v>743</v>
      </c>
      <c r="B744" s="8">
        <v>45640</v>
      </c>
      <c r="C744" t="s">
        <v>7</v>
      </c>
      <c r="D744" t="s">
        <v>46</v>
      </c>
      <c r="E744" t="s">
        <v>55</v>
      </c>
      <c r="F744" t="s">
        <v>42</v>
      </c>
      <c r="G744" t="s">
        <v>43</v>
      </c>
      <c r="H744" t="s">
        <v>43</v>
      </c>
      <c r="I744" t="s">
        <v>43</v>
      </c>
      <c r="J744" t="s">
        <v>49</v>
      </c>
      <c r="K744" s="9">
        <v>10</v>
      </c>
      <c r="L744" s="10">
        <f>IFERROR(VLOOKUP(C744,Parâmetros!$A$5:$D$7,IF(D744="Mensal",2,IF(D744="Trimestral",3,4)),0),0)</f>
        <v>14.99</v>
      </c>
      <c r="M744" s="10">
        <f>IF(G744="Sim",VLOOKUP("EA Play",Parâmetros!$A$11:$B$13,2,0),0)*K744</f>
        <v>49.900000000000006</v>
      </c>
      <c r="N744" s="10">
        <f>IF(H744="Sim",VLOOKUP("Minecraft Pass",Parâmetros!$A$11:$B$13,2,0),0)*K744</f>
        <v>39.900000000000006</v>
      </c>
      <c r="O744" s="10">
        <f>IF(I744="Sim",VLOOKUP("Call of Duty Pass",Parâmetros!$A$11:$B$13,2,0),0)*K744</f>
        <v>69.900000000000006</v>
      </c>
      <c r="P744" s="10">
        <f>(L744*K744+M744+N744+O744)*IF(F744="Promoção",1-Parâmetros!$B$22,1)</f>
        <v>309.60000000000002</v>
      </c>
      <c r="Q744" s="10">
        <f>Parâmetros!$B$20*K744</f>
        <v>120</v>
      </c>
      <c r="R744" s="10">
        <f>P744-Q744</f>
        <v>189.60000000000002</v>
      </c>
    </row>
    <row r="745" spans="1:18">
      <c r="A745">
        <v>744</v>
      </c>
      <c r="B745" s="8">
        <v>45479</v>
      </c>
      <c r="C745" t="s">
        <v>6</v>
      </c>
      <c r="D745" t="s">
        <v>46</v>
      </c>
      <c r="E745" t="s">
        <v>41</v>
      </c>
      <c r="F745" t="s">
        <v>48</v>
      </c>
      <c r="G745" t="s">
        <v>43</v>
      </c>
      <c r="H745" t="s">
        <v>44</v>
      </c>
      <c r="I745" t="s">
        <v>44</v>
      </c>
      <c r="J745" t="s">
        <v>49</v>
      </c>
      <c r="K745" s="9">
        <v>4</v>
      </c>
      <c r="L745" s="10">
        <f>IFERROR(VLOOKUP(C745,Parâmetros!$A$5:$D$7,IF(D745="Mensal",2,IF(D745="Trimestral",3,4)),0),0)</f>
        <v>9.99</v>
      </c>
      <c r="M745" s="10">
        <f>IF(G745="Sim",VLOOKUP("EA Play",Parâmetros!$A$11:$B$13,2,0),0)*K745</f>
        <v>19.96</v>
      </c>
      <c r="N745" s="10">
        <f>IF(H745="Sim",VLOOKUP("Minecraft Pass",Parâmetros!$A$11:$B$13,2,0),0)*K745</f>
        <v>0</v>
      </c>
      <c r="O745" s="10">
        <f>IF(I745="Sim",VLOOKUP("Call of Duty Pass",Parâmetros!$A$11:$B$13,2,0),0)*K745</f>
        <v>0</v>
      </c>
      <c r="P745" s="10">
        <f>(L745*K745+M745+N745+O745)*IF(F745="Promoção",1-Parâmetros!$B$22,1)</f>
        <v>59.92</v>
      </c>
      <c r="Q745" s="10">
        <f>Parâmetros!$B$20*K745</f>
        <v>48</v>
      </c>
      <c r="R745" s="10">
        <f>P745-Q745</f>
        <v>11.920000000000002</v>
      </c>
    </row>
    <row r="746" spans="1:18">
      <c r="A746">
        <v>745</v>
      </c>
      <c r="B746" s="8">
        <v>45597</v>
      </c>
      <c r="C746" t="s">
        <v>6</v>
      </c>
      <c r="D746" t="s">
        <v>46</v>
      </c>
      <c r="E746" t="s">
        <v>41</v>
      </c>
      <c r="F746" t="s">
        <v>42</v>
      </c>
      <c r="G746" t="s">
        <v>43</v>
      </c>
      <c r="H746" t="s">
        <v>44</v>
      </c>
      <c r="I746" t="s">
        <v>43</v>
      </c>
      <c r="J746" t="s">
        <v>49</v>
      </c>
      <c r="K746" s="9">
        <v>16</v>
      </c>
      <c r="L746" s="10">
        <f>IFERROR(VLOOKUP(C746,Parâmetros!$A$5:$D$7,IF(D746="Mensal",2,IF(D746="Trimestral",3,4)),0),0)</f>
        <v>9.99</v>
      </c>
      <c r="M746" s="10">
        <f>IF(G746="Sim",VLOOKUP("EA Play",Parâmetros!$A$11:$B$13,2,0),0)*K746</f>
        <v>79.84</v>
      </c>
      <c r="N746" s="10">
        <f>IF(H746="Sim",VLOOKUP("Minecraft Pass",Parâmetros!$A$11:$B$13,2,0),0)*K746</f>
        <v>0</v>
      </c>
      <c r="O746" s="10">
        <f>IF(I746="Sim",VLOOKUP("Call of Duty Pass",Parâmetros!$A$11:$B$13,2,0),0)*K746</f>
        <v>111.84</v>
      </c>
      <c r="P746" s="10">
        <f>(L746*K746+M746+N746+O746)*IF(F746="Promoção",1-Parâmetros!$B$22,1)</f>
        <v>351.52</v>
      </c>
      <c r="Q746" s="10">
        <f>Parâmetros!$B$20*K746</f>
        <v>192</v>
      </c>
      <c r="R746" s="10">
        <f>P746-Q746</f>
        <v>159.51999999999998</v>
      </c>
    </row>
    <row r="747" spans="1:18">
      <c r="A747">
        <v>746</v>
      </c>
      <c r="B747" s="8">
        <v>45796</v>
      </c>
      <c r="C747" t="s">
        <v>7</v>
      </c>
      <c r="D747" t="s">
        <v>40</v>
      </c>
      <c r="E747" t="s">
        <v>53</v>
      </c>
      <c r="F747" t="s">
        <v>42</v>
      </c>
      <c r="G747" t="s">
        <v>43</v>
      </c>
      <c r="H747" t="s">
        <v>44</v>
      </c>
      <c r="I747" t="s">
        <v>43</v>
      </c>
      <c r="J747" t="s">
        <v>49</v>
      </c>
      <c r="K747" s="9">
        <v>15</v>
      </c>
      <c r="L747" s="10">
        <f>IFERROR(VLOOKUP(C747,Parâmetros!$A$5:$D$7,IF(D747="Mensal",2,IF(D747="Trimestral",3,4)),0),0)</f>
        <v>40</v>
      </c>
      <c r="M747" s="10">
        <f>IF(G747="Sim",VLOOKUP("EA Play",Parâmetros!$A$11:$B$13,2,0),0)*K747</f>
        <v>74.850000000000009</v>
      </c>
      <c r="N747" s="10">
        <f>IF(H747="Sim",VLOOKUP("Minecraft Pass",Parâmetros!$A$11:$B$13,2,0),0)*K747</f>
        <v>0</v>
      </c>
      <c r="O747" s="10">
        <f>IF(I747="Sim",VLOOKUP("Call of Duty Pass",Parâmetros!$A$11:$B$13,2,0),0)*K747</f>
        <v>104.85000000000001</v>
      </c>
      <c r="P747" s="10">
        <f>(L747*K747+M747+N747+O747)*IF(F747="Promoção",1-Parâmetros!$B$22,1)</f>
        <v>779.7</v>
      </c>
      <c r="Q747" s="10">
        <f>Parâmetros!$B$20*K747</f>
        <v>180</v>
      </c>
      <c r="R747" s="10">
        <f>P747-Q747</f>
        <v>599.70000000000005</v>
      </c>
    </row>
    <row r="748" spans="1:18">
      <c r="A748">
        <v>747</v>
      </c>
      <c r="B748" s="8">
        <v>45311</v>
      </c>
      <c r="C748" t="s">
        <v>6</v>
      </c>
      <c r="D748" t="s">
        <v>50</v>
      </c>
      <c r="E748" t="s">
        <v>51</v>
      </c>
      <c r="F748" t="s">
        <v>42</v>
      </c>
      <c r="G748" t="s">
        <v>44</v>
      </c>
      <c r="H748" t="s">
        <v>44</v>
      </c>
      <c r="I748" t="s">
        <v>44</v>
      </c>
      <c r="J748" t="s">
        <v>49</v>
      </c>
      <c r="K748" s="9">
        <v>6</v>
      </c>
      <c r="L748" s="10">
        <f>IFERROR(VLOOKUP(C748,Parâmetros!$A$5:$D$7,IF(D748="Mensal",2,IF(D748="Trimestral",3,4)),0),0)</f>
        <v>99</v>
      </c>
      <c r="M748" s="10">
        <f>IF(G748="Sim",VLOOKUP("EA Play",Parâmetros!$A$11:$B$13,2,0),0)*K748</f>
        <v>0</v>
      </c>
      <c r="N748" s="10">
        <f>IF(H748="Sim",VLOOKUP("Minecraft Pass",Parâmetros!$A$11:$B$13,2,0),0)*K748</f>
        <v>0</v>
      </c>
      <c r="O748" s="10">
        <f>IF(I748="Sim",VLOOKUP("Call of Duty Pass",Parâmetros!$A$11:$B$13,2,0),0)*K748</f>
        <v>0</v>
      </c>
      <c r="P748" s="10">
        <f>(L748*K748+M748+N748+O748)*IF(F748="Promoção",1-Parâmetros!$B$22,1)</f>
        <v>594</v>
      </c>
      <c r="Q748" s="10">
        <f>Parâmetros!$B$20*K748</f>
        <v>72</v>
      </c>
      <c r="R748" s="10">
        <f>P748-Q748</f>
        <v>522</v>
      </c>
    </row>
    <row r="749" spans="1:18">
      <c r="A749">
        <v>748</v>
      </c>
      <c r="B749" s="8">
        <v>45943</v>
      </c>
      <c r="C749" t="s">
        <v>7</v>
      </c>
      <c r="D749" t="s">
        <v>40</v>
      </c>
      <c r="E749" t="s">
        <v>41</v>
      </c>
      <c r="F749" t="s">
        <v>48</v>
      </c>
      <c r="G749" t="s">
        <v>43</v>
      </c>
      <c r="H749" t="s">
        <v>43</v>
      </c>
      <c r="I749" t="s">
        <v>44</v>
      </c>
      <c r="J749" t="s">
        <v>45</v>
      </c>
      <c r="K749" s="9">
        <v>29</v>
      </c>
      <c r="L749" s="10">
        <f>IFERROR(VLOOKUP(C749,Parâmetros!$A$5:$D$7,IF(D749="Mensal",2,IF(D749="Trimestral",3,4)),0),0)</f>
        <v>40</v>
      </c>
      <c r="M749" s="10">
        <f>IF(G749="Sim",VLOOKUP("EA Play",Parâmetros!$A$11:$B$13,2,0),0)*K749</f>
        <v>144.71</v>
      </c>
      <c r="N749" s="10">
        <f>IF(H749="Sim",VLOOKUP("Minecraft Pass",Parâmetros!$A$11:$B$13,2,0),0)*K749</f>
        <v>115.71000000000001</v>
      </c>
      <c r="O749" s="10">
        <f>IF(I749="Sim",VLOOKUP("Call of Duty Pass",Parâmetros!$A$11:$B$13,2,0),0)*K749</f>
        <v>0</v>
      </c>
      <c r="P749" s="10">
        <f>(L749*K749+M749+N749+O749)*IF(F749="Promoção",1-Parâmetros!$B$22,1)</f>
        <v>1420.42</v>
      </c>
      <c r="Q749" s="10">
        <f>Parâmetros!$B$20*K749</f>
        <v>348</v>
      </c>
      <c r="R749" s="10">
        <f>P749-Q749</f>
        <v>1072.42</v>
      </c>
    </row>
    <row r="750" spans="1:18">
      <c r="A750">
        <v>749</v>
      </c>
      <c r="B750" s="8">
        <v>45334</v>
      </c>
      <c r="C750" t="s">
        <v>6</v>
      </c>
      <c r="D750" t="s">
        <v>46</v>
      </c>
      <c r="E750" t="s">
        <v>51</v>
      </c>
      <c r="F750" t="s">
        <v>42</v>
      </c>
      <c r="G750" t="s">
        <v>44</v>
      </c>
      <c r="H750" t="s">
        <v>43</v>
      </c>
      <c r="I750" t="s">
        <v>44</v>
      </c>
      <c r="J750" t="s">
        <v>49</v>
      </c>
      <c r="K750" s="9">
        <v>17</v>
      </c>
      <c r="L750" s="10">
        <f>IFERROR(VLOOKUP(C750,Parâmetros!$A$5:$D$7,IF(D750="Mensal",2,IF(D750="Trimestral",3,4)),0),0)</f>
        <v>9.99</v>
      </c>
      <c r="M750" s="10">
        <f>IF(G750="Sim",VLOOKUP("EA Play",Parâmetros!$A$11:$B$13,2,0),0)*K750</f>
        <v>0</v>
      </c>
      <c r="N750" s="10">
        <f>IF(H750="Sim",VLOOKUP("Minecraft Pass",Parâmetros!$A$11:$B$13,2,0),0)*K750</f>
        <v>67.83</v>
      </c>
      <c r="O750" s="10">
        <f>IF(I750="Sim",VLOOKUP("Call of Duty Pass",Parâmetros!$A$11:$B$13,2,0),0)*K750</f>
        <v>0</v>
      </c>
      <c r="P750" s="10">
        <f>(L750*K750+M750+N750+O750)*IF(F750="Promoção",1-Parâmetros!$B$22,1)</f>
        <v>237.66000000000003</v>
      </c>
      <c r="Q750" s="10">
        <f>Parâmetros!$B$20*K750</f>
        <v>204</v>
      </c>
      <c r="R750" s="10">
        <f>P750-Q750</f>
        <v>33.660000000000025</v>
      </c>
    </row>
    <row r="751" spans="1:18">
      <c r="A751">
        <v>750</v>
      </c>
      <c r="B751" s="8">
        <v>45988</v>
      </c>
      <c r="C751" t="s">
        <v>6</v>
      </c>
      <c r="D751" t="s">
        <v>46</v>
      </c>
      <c r="E751" t="s">
        <v>47</v>
      </c>
      <c r="F751" t="s">
        <v>48</v>
      </c>
      <c r="G751" t="s">
        <v>44</v>
      </c>
      <c r="H751" t="s">
        <v>43</v>
      </c>
      <c r="I751" t="s">
        <v>44</v>
      </c>
      <c r="J751" t="s">
        <v>45</v>
      </c>
      <c r="K751" s="9">
        <v>20</v>
      </c>
      <c r="L751" s="10">
        <f>IFERROR(VLOOKUP(C751,Parâmetros!$A$5:$D$7,IF(D751="Mensal",2,IF(D751="Trimestral",3,4)),0),0)</f>
        <v>9.99</v>
      </c>
      <c r="M751" s="10">
        <f>IF(G751="Sim",VLOOKUP("EA Play",Parâmetros!$A$11:$B$13,2,0),0)*K751</f>
        <v>0</v>
      </c>
      <c r="N751" s="10">
        <f>IF(H751="Sim",VLOOKUP("Minecraft Pass",Parâmetros!$A$11:$B$13,2,0),0)*K751</f>
        <v>79.800000000000011</v>
      </c>
      <c r="O751" s="10">
        <f>IF(I751="Sim",VLOOKUP("Call of Duty Pass",Parâmetros!$A$11:$B$13,2,0),0)*K751</f>
        <v>0</v>
      </c>
      <c r="P751" s="10">
        <f>(L751*K751+M751+N751+O751)*IF(F751="Promoção",1-Parâmetros!$B$22,1)</f>
        <v>279.60000000000002</v>
      </c>
      <c r="Q751" s="10">
        <f>Parâmetros!$B$20*K751</f>
        <v>240</v>
      </c>
      <c r="R751" s="10">
        <f>P751-Q751</f>
        <v>39.600000000000023</v>
      </c>
    </row>
    <row r="752" spans="1:18">
      <c r="A752">
        <v>751</v>
      </c>
      <c r="B752" s="8">
        <v>45383</v>
      </c>
      <c r="C752" t="s">
        <v>6</v>
      </c>
      <c r="D752" t="s">
        <v>46</v>
      </c>
      <c r="E752" t="s">
        <v>41</v>
      </c>
      <c r="F752" t="s">
        <v>48</v>
      </c>
      <c r="G752" t="s">
        <v>43</v>
      </c>
      <c r="H752" t="s">
        <v>44</v>
      </c>
      <c r="I752" t="s">
        <v>44</v>
      </c>
      <c r="J752" t="s">
        <v>45</v>
      </c>
      <c r="K752" s="9">
        <v>21</v>
      </c>
      <c r="L752" s="10">
        <f>IFERROR(VLOOKUP(C752,Parâmetros!$A$5:$D$7,IF(D752="Mensal",2,IF(D752="Trimestral",3,4)),0),0)</f>
        <v>9.99</v>
      </c>
      <c r="M752" s="10">
        <f>IF(G752="Sim",VLOOKUP("EA Play",Parâmetros!$A$11:$B$13,2,0),0)*K752</f>
        <v>104.79</v>
      </c>
      <c r="N752" s="10">
        <f>IF(H752="Sim",VLOOKUP("Minecraft Pass",Parâmetros!$A$11:$B$13,2,0),0)*K752</f>
        <v>0</v>
      </c>
      <c r="O752" s="10">
        <f>IF(I752="Sim",VLOOKUP("Call of Duty Pass",Parâmetros!$A$11:$B$13,2,0),0)*K752</f>
        <v>0</v>
      </c>
      <c r="P752" s="10">
        <f>(L752*K752+M752+N752+O752)*IF(F752="Promoção",1-Parâmetros!$B$22,1)</f>
        <v>314.58</v>
      </c>
      <c r="Q752" s="10">
        <f>Parâmetros!$B$20*K752</f>
        <v>252</v>
      </c>
      <c r="R752" s="10">
        <f>P752-Q752</f>
        <v>62.579999999999984</v>
      </c>
    </row>
    <row r="753" spans="1:18">
      <c r="A753">
        <v>752</v>
      </c>
      <c r="B753" s="8">
        <v>45990</v>
      </c>
      <c r="C753" t="s">
        <v>8</v>
      </c>
      <c r="D753" t="s">
        <v>40</v>
      </c>
      <c r="E753" t="s">
        <v>53</v>
      </c>
      <c r="F753" t="s">
        <v>52</v>
      </c>
      <c r="G753" t="s">
        <v>43</v>
      </c>
      <c r="H753" t="s">
        <v>44</v>
      </c>
      <c r="I753" t="s">
        <v>44</v>
      </c>
      <c r="J753" t="s">
        <v>49</v>
      </c>
      <c r="K753" s="9">
        <v>22</v>
      </c>
      <c r="L753" s="10">
        <f>IFERROR(VLOOKUP(C753,Parâmetros!$A$5:$D$7,IF(D753="Mensal",2,IF(D753="Trimestral",3,4)),0),0)</f>
        <v>59</v>
      </c>
      <c r="M753" s="10">
        <f>IF(G753="Sim",VLOOKUP("EA Play",Parâmetros!$A$11:$B$13,2,0),0)*K753</f>
        <v>109.78</v>
      </c>
      <c r="N753" s="10">
        <f>IF(H753="Sim",VLOOKUP("Minecraft Pass",Parâmetros!$A$11:$B$13,2,0),0)*K753</f>
        <v>0</v>
      </c>
      <c r="O753" s="10">
        <f>IF(I753="Sim",VLOOKUP("Call of Duty Pass",Parâmetros!$A$11:$B$13,2,0),0)*K753</f>
        <v>0</v>
      </c>
      <c r="P753" s="10">
        <f>(L753*K753+M753+N753+O753)*IF(F753="Promoção",1-Parâmetros!$B$22,1)</f>
        <v>1407.78</v>
      </c>
      <c r="Q753" s="10">
        <f>Parâmetros!$B$20*K753</f>
        <v>264</v>
      </c>
      <c r="R753" s="10">
        <f>P753-Q753</f>
        <v>1143.78</v>
      </c>
    </row>
    <row r="754" spans="1:18">
      <c r="A754">
        <v>753</v>
      </c>
      <c r="B754" s="8">
        <v>45308</v>
      </c>
      <c r="C754" t="s">
        <v>8</v>
      </c>
      <c r="D754" t="s">
        <v>46</v>
      </c>
      <c r="E754" t="s">
        <v>55</v>
      </c>
      <c r="F754" t="s">
        <v>52</v>
      </c>
      <c r="G754" t="s">
        <v>43</v>
      </c>
      <c r="H754" t="s">
        <v>43</v>
      </c>
      <c r="I754" t="s">
        <v>43</v>
      </c>
      <c r="J754" t="s">
        <v>45</v>
      </c>
      <c r="K754" s="9">
        <v>32</v>
      </c>
      <c r="L754" s="10">
        <f>IFERROR(VLOOKUP(C754,Parâmetros!$A$5:$D$7,IF(D754="Mensal",2,IF(D754="Trimestral",3,4)),0),0)</f>
        <v>21.99</v>
      </c>
      <c r="M754" s="10">
        <f>IF(G754="Sim",VLOOKUP("EA Play",Parâmetros!$A$11:$B$13,2,0),0)*K754</f>
        <v>159.68</v>
      </c>
      <c r="N754" s="10">
        <f>IF(H754="Sim",VLOOKUP("Minecraft Pass",Parâmetros!$A$11:$B$13,2,0),0)*K754</f>
        <v>127.68</v>
      </c>
      <c r="O754" s="10">
        <f>IF(I754="Sim",VLOOKUP("Call of Duty Pass",Parâmetros!$A$11:$B$13,2,0),0)*K754</f>
        <v>223.68</v>
      </c>
      <c r="P754" s="10">
        <f>(L754*K754+M754+N754+O754)*IF(F754="Promoção",1-Parâmetros!$B$22,1)</f>
        <v>1214.72</v>
      </c>
      <c r="Q754" s="10">
        <f>Parâmetros!$B$20*K754</f>
        <v>384</v>
      </c>
      <c r="R754" s="10">
        <f>P754-Q754</f>
        <v>830.72</v>
      </c>
    </row>
    <row r="755" spans="1:18">
      <c r="A755">
        <v>754</v>
      </c>
      <c r="B755" s="8">
        <v>45694</v>
      </c>
      <c r="C755" t="s">
        <v>7</v>
      </c>
      <c r="D755" t="s">
        <v>40</v>
      </c>
      <c r="E755" t="s">
        <v>51</v>
      </c>
      <c r="F755" t="s">
        <v>42</v>
      </c>
      <c r="G755" t="s">
        <v>43</v>
      </c>
      <c r="H755" t="s">
        <v>44</v>
      </c>
      <c r="I755" t="s">
        <v>44</v>
      </c>
      <c r="J755" t="s">
        <v>45</v>
      </c>
      <c r="K755" s="9">
        <v>23</v>
      </c>
      <c r="L755" s="10">
        <f>IFERROR(VLOOKUP(C755,Parâmetros!$A$5:$D$7,IF(D755="Mensal",2,IF(D755="Trimestral",3,4)),0),0)</f>
        <v>40</v>
      </c>
      <c r="M755" s="10">
        <f>IF(G755="Sim",VLOOKUP("EA Play",Parâmetros!$A$11:$B$13,2,0),0)*K755</f>
        <v>114.77000000000001</v>
      </c>
      <c r="N755" s="10">
        <f>IF(H755="Sim",VLOOKUP("Minecraft Pass",Parâmetros!$A$11:$B$13,2,0),0)*K755</f>
        <v>0</v>
      </c>
      <c r="O755" s="10">
        <f>IF(I755="Sim",VLOOKUP("Call of Duty Pass",Parâmetros!$A$11:$B$13,2,0),0)*K755</f>
        <v>0</v>
      </c>
      <c r="P755" s="10">
        <f>(L755*K755+M755+N755+O755)*IF(F755="Promoção",1-Parâmetros!$B$22,1)</f>
        <v>1034.77</v>
      </c>
      <c r="Q755" s="10">
        <f>Parâmetros!$B$20*K755</f>
        <v>276</v>
      </c>
      <c r="R755" s="10">
        <f>P755-Q755</f>
        <v>758.77</v>
      </c>
    </row>
    <row r="756" spans="1:18">
      <c r="A756">
        <v>755</v>
      </c>
      <c r="B756" s="8">
        <v>45677</v>
      </c>
      <c r="C756" t="s">
        <v>8</v>
      </c>
      <c r="D756" t="s">
        <v>46</v>
      </c>
      <c r="E756" t="s">
        <v>41</v>
      </c>
      <c r="F756" t="s">
        <v>52</v>
      </c>
      <c r="G756" t="s">
        <v>44</v>
      </c>
      <c r="H756" t="s">
        <v>43</v>
      </c>
      <c r="I756" t="s">
        <v>44</v>
      </c>
      <c r="J756" t="s">
        <v>45</v>
      </c>
      <c r="K756" s="9">
        <v>29</v>
      </c>
      <c r="L756" s="10">
        <f>IFERROR(VLOOKUP(C756,Parâmetros!$A$5:$D$7,IF(D756="Mensal",2,IF(D756="Trimestral",3,4)),0),0)</f>
        <v>21.99</v>
      </c>
      <c r="M756" s="10">
        <f>IF(G756="Sim",VLOOKUP("EA Play",Parâmetros!$A$11:$B$13,2,0),0)*K756</f>
        <v>0</v>
      </c>
      <c r="N756" s="10">
        <f>IF(H756="Sim",VLOOKUP("Minecraft Pass",Parâmetros!$A$11:$B$13,2,0),0)*K756</f>
        <v>115.71000000000001</v>
      </c>
      <c r="O756" s="10">
        <f>IF(I756="Sim",VLOOKUP("Call of Duty Pass",Parâmetros!$A$11:$B$13,2,0),0)*K756</f>
        <v>0</v>
      </c>
      <c r="P756" s="10">
        <f>(L756*K756+M756+N756+O756)*IF(F756="Promoção",1-Parâmetros!$B$22,1)</f>
        <v>753.42</v>
      </c>
      <c r="Q756" s="10">
        <f>Parâmetros!$B$20*K756</f>
        <v>348</v>
      </c>
      <c r="R756" s="10">
        <f>P756-Q756</f>
        <v>405.41999999999996</v>
      </c>
    </row>
    <row r="757" spans="1:18">
      <c r="A757">
        <v>756</v>
      </c>
      <c r="B757" s="8">
        <v>45301</v>
      </c>
      <c r="C757" t="s">
        <v>6</v>
      </c>
      <c r="D757" t="s">
        <v>46</v>
      </c>
      <c r="E757" t="s">
        <v>41</v>
      </c>
      <c r="F757" t="s">
        <v>54</v>
      </c>
      <c r="G757" t="s">
        <v>43</v>
      </c>
      <c r="H757" t="s">
        <v>43</v>
      </c>
      <c r="I757" t="s">
        <v>44</v>
      </c>
      <c r="J757" t="s">
        <v>49</v>
      </c>
      <c r="K757" s="9">
        <v>15</v>
      </c>
      <c r="L757" s="10">
        <f>IFERROR(VLOOKUP(C757,Parâmetros!$A$5:$D$7,IF(D757="Mensal",2,IF(D757="Trimestral",3,4)),0),0)</f>
        <v>9.99</v>
      </c>
      <c r="M757" s="10">
        <f>IF(G757="Sim",VLOOKUP("EA Play",Parâmetros!$A$11:$B$13,2,0),0)*K757</f>
        <v>74.850000000000009</v>
      </c>
      <c r="N757" s="10">
        <f>IF(H757="Sim",VLOOKUP("Minecraft Pass",Parâmetros!$A$11:$B$13,2,0),0)*K757</f>
        <v>59.85</v>
      </c>
      <c r="O757" s="10">
        <f>IF(I757="Sim",VLOOKUP("Call of Duty Pass",Parâmetros!$A$11:$B$13,2,0),0)*K757</f>
        <v>0</v>
      </c>
      <c r="P757" s="10">
        <f>(L757*K757+M757+N757+O757)*IF(F757="Promoção",1-Parâmetros!$B$22,1)</f>
        <v>256.09500000000003</v>
      </c>
      <c r="Q757" s="10">
        <f>Parâmetros!$B$20*K757</f>
        <v>180</v>
      </c>
      <c r="R757" s="10">
        <f>P757-Q757</f>
        <v>76.095000000000027</v>
      </c>
    </row>
    <row r="758" spans="1:18">
      <c r="A758">
        <v>757</v>
      </c>
      <c r="B758" s="8">
        <v>45531</v>
      </c>
      <c r="C758" t="s">
        <v>8</v>
      </c>
      <c r="D758" t="s">
        <v>50</v>
      </c>
      <c r="E758" t="s">
        <v>41</v>
      </c>
      <c r="F758" t="s">
        <v>48</v>
      </c>
      <c r="G758" t="s">
        <v>44</v>
      </c>
      <c r="H758" t="s">
        <v>44</v>
      </c>
      <c r="I758" t="s">
        <v>43</v>
      </c>
      <c r="J758" t="s">
        <v>45</v>
      </c>
      <c r="K758" s="9">
        <v>26</v>
      </c>
      <c r="L758" s="10">
        <f>IFERROR(VLOOKUP(C758,Parâmetros!$A$5:$D$7,IF(D758="Mensal",2,IF(D758="Trimestral",3,4)),0),0)</f>
        <v>219</v>
      </c>
      <c r="M758" s="10">
        <f>IF(G758="Sim",VLOOKUP("EA Play",Parâmetros!$A$11:$B$13,2,0),0)*K758</f>
        <v>0</v>
      </c>
      <c r="N758" s="10">
        <f>IF(H758="Sim",VLOOKUP("Minecraft Pass",Parâmetros!$A$11:$B$13,2,0),0)*K758</f>
        <v>0</v>
      </c>
      <c r="O758" s="10">
        <f>IF(I758="Sim",VLOOKUP("Call of Duty Pass",Parâmetros!$A$11:$B$13,2,0),0)*K758</f>
        <v>181.74</v>
      </c>
      <c r="P758" s="10">
        <f>(L758*K758+M758+N758+O758)*IF(F758="Promoção",1-Parâmetros!$B$22,1)</f>
        <v>5875.74</v>
      </c>
      <c r="Q758" s="10">
        <f>Parâmetros!$B$20*K758</f>
        <v>312</v>
      </c>
      <c r="R758" s="10">
        <f>P758-Q758</f>
        <v>5563.74</v>
      </c>
    </row>
    <row r="759" spans="1:18">
      <c r="A759">
        <v>758</v>
      </c>
      <c r="B759" s="8">
        <v>45405</v>
      </c>
      <c r="C759" t="s">
        <v>8</v>
      </c>
      <c r="D759" t="s">
        <v>40</v>
      </c>
      <c r="E759" t="s">
        <v>47</v>
      </c>
      <c r="F759" t="s">
        <v>48</v>
      </c>
      <c r="G759" t="s">
        <v>44</v>
      </c>
      <c r="H759" t="s">
        <v>44</v>
      </c>
      <c r="I759" t="s">
        <v>44</v>
      </c>
      <c r="J759" t="s">
        <v>45</v>
      </c>
      <c r="K759" s="9">
        <v>5</v>
      </c>
      <c r="L759" s="10">
        <f>IFERROR(VLOOKUP(C759,Parâmetros!$A$5:$D$7,IF(D759="Mensal",2,IF(D759="Trimestral",3,4)),0),0)</f>
        <v>59</v>
      </c>
      <c r="M759" s="10">
        <f>IF(G759="Sim",VLOOKUP("EA Play",Parâmetros!$A$11:$B$13,2,0),0)*K759</f>
        <v>0</v>
      </c>
      <c r="N759" s="10">
        <f>IF(H759="Sim",VLOOKUP("Minecraft Pass",Parâmetros!$A$11:$B$13,2,0),0)*K759</f>
        <v>0</v>
      </c>
      <c r="O759" s="10">
        <f>IF(I759="Sim",VLOOKUP("Call of Duty Pass",Parâmetros!$A$11:$B$13,2,0),0)*K759</f>
        <v>0</v>
      </c>
      <c r="P759" s="10">
        <f>(L759*K759+M759+N759+O759)*IF(F759="Promoção",1-Parâmetros!$B$22,1)</f>
        <v>295</v>
      </c>
      <c r="Q759" s="10">
        <f>Parâmetros!$B$20*K759</f>
        <v>60</v>
      </c>
      <c r="R759" s="10">
        <f>P759-Q759</f>
        <v>235</v>
      </c>
    </row>
    <row r="760" spans="1:18">
      <c r="A760">
        <v>759</v>
      </c>
      <c r="B760" s="8">
        <v>45894</v>
      </c>
      <c r="C760" t="s">
        <v>6</v>
      </c>
      <c r="D760" t="s">
        <v>46</v>
      </c>
      <c r="E760" t="s">
        <v>41</v>
      </c>
      <c r="F760" t="s">
        <v>48</v>
      </c>
      <c r="G760" t="s">
        <v>43</v>
      </c>
      <c r="H760" t="s">
        <v>44</v>
      </c>
      <c r="I760" t="s">
        <v>44</v>
      </c>
      <c r="J760" t="s">
        <v>49</v>
      </c>
      <c r="K760" s="9">
        <v>2</v>
      </c>
      <c r="L760" s="10">
        <f>IFERROR(VLOOKUP(C760,Parâmetros!$A$5:$D$7,IF(D760="Mensal",2,IF(D760="Trimestral",3,4)),0),0)</f>
        <v>9.99</v>
      </c>
      <c r="M760" s="10">
        <f>IF(G760="Sim",VLOOKUP("EA Play",Parâmetros!$A$11:$B$13,2,0),0)*K760</f>
        <v>9.98</v>
      </c>
      <c r="N760" s="10">
        <f>IF(H760="Sim",VLOOKUP("Minecraft Pass",Parâmetros!$A$11:$B$13,2,0),0)*K760</f>
        <v>0</v>
      </c>
      <c r="O760" s="10">
        <f>IF(I760="Sim",VLOOKUP("Call of Duty Pass",Parâmetros!$A$11:$B$13,2,0),0)*K760</f>
        <v>0</v>
      </c>
      <c r="P760" s="10">
        <f>(L760*K760+M760+N760+O760)*IF(F760="Promoção",1-Parâmetros!$B$22,1)</f>
        <v>29.96</v>
      </c>
      <c r="Q760" s="10">
        <f>Parâmetros!$B$20*K760</f>
        <v>24</v>
      </c>
      <c r="R760" s="10">
        <f>P760-Q760</f>
        <v>5.9600000000000009</v>
      </c>
    </row>
    <row r="761" spans="1:18">
      <c r="A761">
        <v>760</v>
      </c>
      <c r="B761" s="8">
        <v>46001</v>
      </c>
      <c r="C761" t="s">
        <v>7</v>
      </c>
      <c r="D761" t="s">
        <v>40</v>
      </c>
      <c r="E761" t="s">
        <v>51</v>
      </c>
      <c r="F761" t="s">
        <v>54</v>
      </c>
      <c r="G761" t="s">
        <v>43</v>
      </c>
      <c r="H761" t="s">
        <v>44</v>
      </c>
      <c r="I761" t="s">
        <v>44</v>
      </c>
      <c r="J761" t="s">
        <v>45</v>
      </c>
      <c r="K761" s="9">
        <v>21</v>
      </c>
      <c r="L761" s="10">
        <f>IFERROR(VLOOKUP(C761,Parâmetros!$A$5:$D$7,IF(D761="Mensal",2,IF(D761="Trimestral",3,4)),0),0)</f>
        <v>40</v>
      </c>
      <c r="M761" s="10">
        <f>IF(G761="Sim",VLOOKUP("EA Play",Parâmetros!$A$11:$B$13,2,0),0)*K761</f>
        <v>104.79</v>
      </c>
      <c r="N761" s="10">
        <f>IF(H761="Sim",VLOOKUP("Minecraft Pass",Parâmetros!$A$11:$B$13,2,0),0)*K761</f>
        <v>0</v>
      </c>
      <c r="O761" s="10">
        <f>IF(I761="Sim",VLOOKUP("Call of Duty Pass",Parâmetros!$A$11:$B$13,2,0),0)*K761</f>
        <v>0</v>
      </c>
      <c r="P761" s="10">
        <f>(L761*K761+M761+N761+O761)*IF(F761="Promoção",1-Parâmetros!$B$22,1)</f>
        <v>850.31100000000004</v>
      </c>
      <c r="Q761" s="10">
        <f>Parâmetros!$B$20*K761</f>
        <v>252</v>
      </c>
      <c r="R761" s="10">
        <f>P761-Q761</f>
        <v>598.31100000000004</v>
      </c>
    </row>
    <row r="762" spans="1:18">
      <c r="A762">
        <v>761</v>
      </c>
      <c r="B762" s="8">
        <v>45734</v>
      </c>
      <c r="C762" t="s">
        <v>8</v>
      </c>
      <c r="D762" t="s">
        <v>46</v>
      </c>
      <c r="E762" t="s">
        <v>41</v>
      </c>
      <c r="F762" t="s">
        <v>48</v>
      </c>
      <c r="G762" t="s">
        <v>44</v>
      </c>
      <c r="H762" t="s">
        <v>44</v>
      </c>
      <c r="I762" t="s">
        <v>43</v>
      </c>
      <c r="J762" t="s">
        <v>45</v>
      </c>
      <c r="K762" s="9">
        <v>4</v>
      </c>
      <c r="L762" s="10">
        <f>IFERROR(VLOOKUP(C762,Parâmetros!$A$5:$D$7,IF(D762="Mensal",2,IF(D762="Trimestral",3,4)),0),0)</f>
        <v>21.99</v>
      </c>
      <c r="M762" s="10">
        <f>IF(G762="Sim",VLOOKUP("EA Play",Parâmetros!$A$11:$B$13,2,0),0)*K762</f>
        <v>0</v>
      </c>
      <c r="N762" s="10">
        <f>IF(H762="Sim",VLOOKUP("Minecraft Pass",Parâmetros!$A$11:$B$13,2,0),0)*K762</f>
        <v>0</v>
      </c>
      <c r="O762" s="10">
        <f>IF(I762="Sim",VLOOKUP("Call of Duty Pass",Parâmetros!$A$11:$B$13,2,0),0)*K762</f>
        <v>27.96</v>
      </c>
      <c r="P762" s="10">
        <f>(L762*K762+M762+N762+O762)*IF(F762="Promoção",1-Parâmetros!$B$22,1)</f>
        <v>115.91999999999999</v>
      </c>
      <c r="Q762" s="10">
        <f>Parâmetros!$B$20*K762</f>
        <v>48</v>
      </c>
      <c r="R762" s="10">
        <f>P762-Q762</f>
        <v>67.919999999999987</v>
      </c>
    </row>
    <row r="763" spans="1:18">
      <c r="A763">
        <v>762</v>
      </c>
      <c r="B763" s="8">
        <v>45576</v>
      </c>
      <c r="C763" t="s">
        <v>8</v>
      </c>
      <c r="D763" t="s">
        <v>40</v>
      </c>
      <c r="E763" t="s">
        <v>41</v>
      </c>
      <c r="F763" t="s">
        <v>42</v>
      </c>
      <c r="G763" t="s">
        <v>43</v>
      </c>
      <c r="H763" t="s">
        <v>44</v>
      </c>
      <c r="I763" t="s">
        <v>44</v>
      </c>
      <c r="J763" t="s">
        <v>45</v>
      </c>
      <c r="K763" s="9">
        <v>15</v>
      </c>
      <c r="L763" s="10">
        <f>IFERROR(VLOOKUP(C763,Parâmetros!$A$5:$D$7,IF(D763="Mensal",2,IF(D763="Trimestral",3,4)),0),0)</f>
        <v>59</v>
      </c>
      <c r="M763" s="10">
        <f>IF(G763="Sim",VLOOKUP("EA Play",Parâmetros!$A$11:$B$13,2,0),0)*K763</f>
        <v>74.850000000000009</v>
      </c>
      <c r="N763" s="10">
        <f>IF(H763="Sim",VLOOKUP("Minecraft Pass",Parâmetros!$A$11:$B$13,2,0),0)*K763</f>
        <v>0</v>
      </c>
      <c r="O763" s="10">
        <f>IF(I763="Sim",VLOOKUP("Call of Duty Pass",Parâmetros!$A$11:$B$13,2,0),0)*K763</f>
        <v>0</v>
      </c>
      <c r="P763" s="10">
        <f>(L763*K763+M763+N763+O763)*IF(F763="Promoção",1-Parâmetros!$B$22,1)</f>
        <v>959.85</v>
      </c>
      <c r="Q763" s="10">
        <f>Parâmetros!$B$20*K763</f>
        <v>180</v>
      </c>
      <c r="R763" s="10">
        <f>P763-Q763</f>
        <v>779.85</v>
      </c>
    </row>
    <row r="764" spans="1:18">
      <c r="A764">
        <v>763</v>
      </c>
      <c r="B764" s="8">
        <v>45998</v>
      </c>
      <c r="C764" t="s">
        <v>7</v>
      </c>
      <c r="D764" t="s">
        <v>46</v>
      </c>
      <c r="E764" t="s">
        <v>41</v>
      </c>
      <c r="F764" t="s">
        <v>42</v>
      </c>
      <c r="G764" t="s">
        <v>43</v>
      </c>
      <c r="H764" t="s">
        <v>44</v>
      </c>
      <c r="I764" t="s">
        <v>43</v>
      </c>
      <c r="J764" t="s">
        <v>49</v>
      </c>
      <c r="K764" s="9">
        <v>2</v>
      </c>
      <c r="L764" s="10">
        <f>IFERROR(VLOOKUP(C764,Parâmetros!$A$5:$D$7,IF(D764="Mensal",2,IF(D764="Trimestral",3,4)),0),0)</f>
        <v>14.99</v>
      </c>
      <c r="M764" s="10">
        <f>IF(G764="Sim",VLOOKUP("EA Play",Parâmetros!$A$11:$B$13,2,0),0)*K764</f>
        <v>9.98</v>
      </c>
      <c r="N764" s="10">
        <f>IF(H764="Sim",VLOOKUP("Minecraft Pass",Parâmetros!$A$11:$B$13,2,0),0)*K764</f>
        <v>0</v>
      </c>
      <c r="O764" s="10">
        <f>IF(I764="Sim",VLOOKUP("Call of Duty Pass",Parâmetros!$A$11:$B$13,2,0),0)*K764</f>
        <v>13.98</v>
      </c>
      <c r="P764" s="10">
        <f>(L764*K764+M764+N764+O764)*IF(F764="Promoção",1-Parâmetros!$B$22,1)</f>
        <v>53.94</v>
      </c>
      <c r="Q764" s="10">
        <f>Parâmetros!$B$20*K764</f>
        <v>24</v>
      </c>
      <c r="R764" s="10">
        <f>P764-Q764</f>
        <v>29.939999999999998</v>
      </c>
    </row>
    <row r="765" spans="1:18">
      <c r="A765">
        <v>764</v>
      </c>
      <c r="B765" s="8">
        <v>45898</v>
      </c>
      <c r="C765" t="s">
        <v>8</v>
      </c>
      <c r="D765" t="s">
        <v>50</v>
      </c>
      <c r="E765" t="s">
        <v>55</v>
      </c>
      <c r="F765" t="s">
        <v>42</v>
      </c>
      <c r="G765" t="s">
        <v>44</v>
      </c>
      <c r="H765" t="s">
        <v>44</v>
      </c>
      <c r="I765" t="s">
        <v>44</v>
      </c>
      <c r="J765" t="s">
        <v>45</v>
      </c>
      <c r="K765" s="9">
        <v>34</v>
      </c>
      <c r="L765" s="10">
        <f>IFERROR(VLOOKUP(C765,Parâmetros!$A$5:$D$7,IF(D765="Mensal",2,IF(D765="Trimestral",3,4)),0),0)</f>
        <v>219</v>
      </c>
      <c r="M765" s="10">
        <f>IF(G765="Sim",VLOOKUP("EA Play",Parâmetros!$A$11:$B$13,2,0),0)*K765</f>
        <v>0</v>
      </c>
      <c r="N765" s="10">
        <f>IF(H765="Sim",VLOOKUP("Minecraft Pass",Parâmetros!$A$11:$B$13,2,0),0)*K765</f>
        <v>0</v>
      </c>
      <c r="O765" s="10">
        <f>IF(I765="Sim",VLOOKUP("Call of Duty Pass",Parâmetros!$A$11:$B$13,2,0),0)*K765</f>
        <v>0</v>
      </c>
      <c r="P765" s="10">
        <f>(L765*K765+M765+N765+O765)*IF(F765="Promoção",1-Parâmetros!$B$22,1)</f>
        <v>7446</v>
      </c>
      <c r="Q765" s="10">
        <f>Parâmetros!$B$20*K765</f>
        <v>408</v>
      </c>
      <c r="R765" s="10">
        <f>P765-Q765</f>
        <v>7038</v>
      </c>
    </row>
    <row r="766" spans="1:18">
      <c r="A766">
        <v>765</v>
      </c>
      <c r="B766" s="8">
        <v>45534</v>
      </c>
      <c r="C766" t="s">
        <v>8</v>
      </c>
      <c r="D766" t="s">
        <v>40</v>
      </c>
      <c r="E766" t="s">
        <v>47</v>
      </c>
      <c r="F766" t="s">
        <v>52</v>
      </c>
      <c r="G766" t="s">
        <v>44</v>
      </c>
      <c r="H766" t="s">
        <v>44</v>
      </c>
      <c r="I766" t="s">
        <v>43</v>
      </c>
      <c r="J766" t="s">
        <v>49</v>
      </c>
      <c r="K766" s="9">
        <v>3</v>
      </c>
      <c r="L766" s="10">
        <f>IFERROR(VLOOKUP(C766,Parâmetros!$A$5:$D$7,IF(D766="Mensal",2,IF(D766="Trimestral",3,4)),0),0)</f>
        <v>59</v>
      </c>
      <c r="M766" s="10">
        <f>IF(G766="Sim",VLOOKUP("EA Play",Parâmetros!$A$11:$B$13,2,0),0)*K766</f>
        <v>0</v>
      </c>
      <c r="N766" s="10">
        <f>IF(H766="Sim",VLOOKUP("Minecraft Pass",Parâmetros!$A$11:$B$13,2,0),0)*K766</f>
        <v>0</v>
      </c>
      <c r="O766" s="10">
        <f>IF(I766="Sim",VLOOKUP("Call of Duty Pass",Parâmetros!$A$11:$B$13,2,0),0)*K766</f>
        <v>20.97</v>
      </c>
      <c r="P766" s="10">
        <f>(L766*K766+M766+N766+O766)*IF(F766="Promoção",1-Parâmetros!$B$22,1)</f>
        <v>197.97</v>
      </c>
      <c r="Q766" s="10">
        <f>Parâmetros!$B$20*K766</f>
        <v>36</v>
      </c>
      <c r="R766" s="10">
        <f>P766-Q766</f>
        <v>161.97</v>
      </c>
    </row>
    <row r="767" spans="1:18">
      <c r="A767">
        <v>766</v>
      </c>
      <c r="B767" s="8">
        <v>45678</v>
      </c>
      <c r="C767" t="s">
        <v>6</v>
      </c>
      <c r="D767" t="s">
        <v>50</v>
      </c>
      <c r="E767" t="s">
        <v>41</v>
      </c>
      <c r="F767" t="s">
        <v>42</v>
      </c>
      <c r="G767" t="s">
        <v>44</v>
      </c>
      <c r="H767" t="s">
        <v>44</v>
      </c>
      <c r="I767" t="s">
        <v>44</v>
      </c>
      <c r="J767" t="s">
        <v>45</v>
      </c>
      <c r="K767" s="9">
        <v>5</v>
      </c>
      <c r="L767" s="10">
        <f>IFERROR(VLOOKUP(C767,Parâmetros!$A$5:$D$7,IF(D767="Mensal",2,IF(D767="Trimestral",3,4)),0),0)</f>
        <v>99</v>
      </c>
      <c r="M767" s="10">
        <f>IF(G767="Sim",VLOOKUP("EA Play",Parâmetros!$A$11:$B$13,2,0),0)*K767</f>
        <v>0</v>
      </c>
      <c r="N767" s="10">
        <f>IF(H767="Sim",VLOOKUP("Minecraft Pass",Parâmetros!$A$11:$B$13,2,0),0)*K767</f>
        <v>0</v>
      </c>
      <c r="O767" s="10">
        <f>IF(I767="Sim",VLOOKUP("Call of Duty Pass",Parâmetros!$A$11:$B$13,2,0),0)*K767</f>
        <v>0</v>
      </c>
      <c r="P767" s="10">
        <f>(L767*K767+M767+N767+O767)*IF(F767="Promoção",1-Parâmetros!$B$22,1)</f>
        <v>495</v>
      </c>
      <c r="Q767" s="10">
        <f>Parâmetros!$B$20*K767</f>
        <v>60</v>
      </c>
      <c r="R767" s="10">
        <f>P767-Q767</f>
        <v>435</v>
      </c>
    </row>
    <row r="768" spans="1:18">
      <c r="A768">
        <v>767</v>
      </c>
      <c r="B768" s="8">
        <v>45396</v>
      </c>
      <c r="C768" t="s">
        <v>7</v>
      </c>
      <c r="D768" t="s">
        <v>40</v>
      </c>
      <c r="E768" t="s">
        <v>41</v>
      </c>
      <c r="F768" t="s">
        <v>42</v>
      </c>
      <c r="G768" t="s">
        <v>43</v>
      </c>
      <c r="H768" t="s">
        <v>44</v>
      </c>
      <c r="I768" t="s">
        <v>43</v>
      </c>
      <c r="J768" t="s">
        <v>45</v>
      </c>
      <c r="K768" s="9">
        <v>1</v>
      </c>
      <c r="L768" s="10">
        <f>IFERROR(VLOOKUP(C768,Parâmetros!$A$5:$D$7,IF(D768="Mensal",2,IF(D768="Trimestral",3,4)),0),0)</f>
        <v>40</v>
      </c>
      <c r="M768" s="10">
        <f>IF(G768="Sim",VLOOKUP("EA Play",Parâmetros!$A$11:$B$13,2,0),0)*K768</f>
        <v>4.99</v>
      </c>
      <c r="N768" s="10">
        <f>IF(H768="Sim",VLOOKUP("Minecraft Pass",Parâmetros!$A$11:$B$13,2,0),0)*K768</f>
        <v>0</v>
      </c>
      <c r="O768" s="10">
        <f>IF(I768="Sim",VLOOKUP("Call of Duty Pass",Parâmetros!$A$11:$B$13,2,0),0)*K768</f>
        <v>6.99</v>
      </c>
      <c r="P768" s="10">
        <f>(L768*K768+M768+N768+O768)*IF(F768="Promoção",1-Parâmetros!$B$22,1)</f>
        <v>51.980000000000004</v>
      </c>
      <c r="Q768" s="10">
        <f>Parâmetros!$B$20*K768</f>
        <v>12</v>
      </c>
      <c r="R768" s="10">
        <f>P768-Q768</f>
        <v>39.980000000000004</v>
      </c>
    </row>
    <row r="769" spans="1:18">
      <c r="A769">
        <v>768</v>
      </c>
      <c r="B769" s="8">
        <v>45756</v>
      </c>
      <c r="C769" t="s">
        <v>6</v>
      </c>
      <c r="D769" t="s">
        <v>40</v>
      </c>
      <c r="E769" t="s">
        <v>55</v>
      </c>
      <c r="F769" t="s">
        <v>52</v>
      </c>
      <c r="G769" t="s">
        <v>43</v>
      </c>
      <c r="H769" t="s">
        <v>44</v>
      </c>
      <c r="I769" t="s">
        <v>44</v>
      </c>
      <c r="J769" t="s">
        <v>49</v>
      </c>
      <c r="K769" s="9">
        <v>22</v>
      </c>
      <c r="L769" s="10">
        <f>IFERROR(VLOOKUP(C769,Parâmetros!$A$5:$D$7,IF(D769="Mensal",2,IF(D769="Trimestral",3,4)),0),0)</f>
        <v>27</v>
      </c>
      <c r="M769" s="10">
        <f>IF(G769="Sim",VLOOKUP("EA Play",Parâmetros!$A$11:$B$13,2,0),0)*K769</f>
        <v>109.78</v>
      </c>
      <c r="N769" s="10">
        <f>IF(H769="Sim",VLOOKUP("Minecraft Pass",Parâmetros!$A$11:$B$13,2,0),0)*K769</f>
        <v>0</v>
      </c>
      <c r="O769" s="10">
        <f>IF(I769="Sim",VLOOKUP("Call of Duty Pass",Parâmetros!$A$11:$B$13,2,0),0)*K769</f>
        <v>0</v>
      </c>
      <c r="P769" s="10">
        <f>(L769*K769+M769+N769+O769)*IF(F769="Promoção",1-Parâmetros!$B$22,1)</f>
        <v>703.78</v>
      </c>
      <c r="Q769" s="10">
        <f>Parâmetros!$B$20*K769</f>
        <v>264</v>
      </c>
      <c r="R769" s="10">
        <f>P769-Q769</f>
        <v>439.78</v>
      </c>
    </row>
    <row r="770" spans="1:18">
      <c r="A770">
        <v>769</v>
      </c>
      <c r="B770" s="8">
        <v>45893</v>
      </c>
      <c r="C770" t="s">
        <v>6</v>
      </c>
      <c r="D770" t="s">
        <v>46</v>
      </c>
      <c r="E770" t="s">
        <v>47</v>
      </c>
      <c r="F770" t="s">
        <v>42</v>
      </c>
      <c r="G770" t="s">
        <v>44</v>
      </c>
      <c r="H770" t="s">
        <v>43</v>
      </c>
      <c r="I770" t="s">
        <v>44</v>
      </c>
      <c r="J770" t="s">
        <v>45</v>
      </c>
      <c r="K770" s="9">
        <v>17</v>
      </c>
      <c r="L770" s="10">
        <f>IFERROR(VLOOKUP(C770,Parâmetros!$A$5:$D$7,IF(D770="Mensal",2,IF(D770="Trimestral",3,4)),0),0)</f>
        <v>9.99</v>
      </c>
      <c r="M770" s="10">
        <f>IF(G770="Sim",VLOOKUP("EA Play",Parâmetros!$A$11:$B$13,2,0),0)*K770</f>
        <v>0</v>
      </c>
      <c r="N770" s="10">
        <f>IF(H770="Sim",VLOOKUP("Minecraft Pass",Parâmetros!$A$11:$B$13,2,0),0)*K770</f>
        <v>67.83</v>
      </c>
      <c r="O770" s="10">
        <f>IF(I770="Sim",VLOOKUP("Call of Duty Pass",Parâmetros!$A$11:$B$13,2,0),0)*K770</f>
        <v>0</v>
      </c>
      <c r="P770" s="10">
        <f>(L770*K770+M770+N770+O770)*IF(F770="Promoção",1-Parâmetros!$B$22,1)</f>
        <v>237.66000000000003</v>
      </c>
      <c r="Q770" s="10">
        <f>Parâmetros!$B$20*K770</f>
        <v>204</v>
      </c>
      <c r="R770" s="10">
        <f>P770-Q770</f>
        <v>33.660000000000025</v>
      </c>
    </row>
    <row r="771" spans="1:18">
      <c r="A771">
        <v>770</v>
      </c>
      <c r="B771" s="8">
        <v>45655</v>
      </c>
      <c r="C771" t="s">
        <v>7</v>
      </c>
      <c r="D771" t="s">
        <v>40</v>
      </c>
      <c r="E771" t="s">
        <v>47</v>
      </c>
      <c r="F771" t="s">
        <v>42</v>
      </c>
      <c r="G771" t="s">
        <v>44</v>
      </c>
      <c r="H771" t="s">
        <v>43</v>
      </c>
      <c r="I771" t="s">
        <v>44</v>
      </c>
      <c r="J771" t="s">
        <v>49</v>
      </c>
      <c r="K771" s="9">
        <v>23</v>
      </c>
      <c r="L771" s="10">
        <f>IFERROR(VLOOKUP(C771,Parâmetros!$A$5:$D$7,IF(D771="Mensal",2,IF(D771="Trimestral",3,4)),0),0)</f>
        <v>40</v>
      </c>
      <c r="M771" s="10">
        <f>IF(G771="Sim",VLOOKUP("EA Play",Parâmetros!$A$11:$B$13,2,0),0)*K771</f>
        <v>0</v>
      </c>
      <c r="N771" s="10">
        <f>IF(H771="Sim",VLOOKUP("Minecraft Pass",Parâmetros!$A$11:$B$13,2,0),0)*K771</f>
        <v>91.77000000000001</v>
      </c>
      <c r="O771" s="10">
        <f>IF(I771="Sim",VLOOKUP("Call of Duty Pass",Parâmetros!$A$11:$B$13,2,0),0)*K771</f>
        <v>0</v>
      </c>
      <c r="P771" s="10">
        <f>(L771*K771+M771+N771+O771)*IF(F771="Promoção",1-Parâmetros!$B$22,1)</f>
        <v>1011.77</v>
      </c>
      <c r="Q771" s="10">
        <f>Parâmetros!$B$20*K771</f>
        <v>276</v>
      </c>
      <c r="R771" s="10">
        <f>P771-Q771</f>
        <v>735.77</v>
      </c>
    </row>
    <row r="772" spans="1:18">
      <c r="A772">
        <v>771</v>
      </c>
      <c r="B772" s="8">
        <v>45610</v>
      </c>
      <c r="C772" t="s">
        <v>7</v>
      </c>
      <c r="D772" t="s">
        <v>40</v>
      </c>
      <c r="E772" t="s">
        <v>41</v>
      </c>
      <c r="F772" t="s">
        <v>48</v>
      </c>
      <c r="G772" t="s">
        <v>44</v>
      </c>
      <c r="H772" t="s">
        <v>43</v>
      </c>
      <c r="I772" t="s">
        <v>44</v>
      </c>
      <c r="J772" t="s">
        <v>49</v>
      </c>
      <c r="K772" s="9">
        <v>10</v>
      </c>
      <c r="L772" s="10">
        <f>IFERROR(VLOOKUP(C772,Parâmetros!$A$5:$D$7,IF(D772="Mensal",2,IF(D772="Trimestral",3,4)),0),0)</f>
        <v>40</v>
      </c>
      <c r="M772" s="10">
        <f>IF(G772="Sim",VLOOKUP("EA Play",Parâmetros!$A$11:$B$13,2,0),0)*K772</f>
        <v>0</v>
      </c>
      <c r="N772" s="10">
        <f>IF(H772="Sim",VLOOKUP("Minecraft Pass",Parâmetros!$A$11:$B$13,2,0),0)*K772</f>
        <v>39.900000000000006</v>
      </c>
      <c r="O772" s="10">
        <f>IF(I772="Sim",VLOOKUP("Call of Duty Pass",Parâmetros!$A$11:$B$13,2,0),0)*K772</f>
        <v>0</v>
      </c>
      <c r="P772" s="10">
        <f>(L772*K772+M772+N772+O772)*IF(F772="Promoção",1-Parâmetros!$B$22,1)</f>
        <v>439.9</v>
      </c>
      <c r="Q772" s="10">
        <f>Parâmetros!$B$20*K772</f>
        <v>120</v>
      </c>
      <c r="R772" s="10">
        <f>P772-Q772</f>
        <v>319.89999999999998</v>
      </c>
    </row>
    <row r="773" spans="1:18">
      <c r="A773">
        <v>772</v>
      </c>
      <c r="B773" s="8">
        <v>45350</v>
      </c>
      <c r="C773" t="s">
        <v>6</v>
      </c>
      <c r="D773" t="s">
        <v>50</v>
      </c>
      <c r="E773" t="s">
        <v>47</v>
      </c>
      <c r="F773" t="s">
        <v>42</v>
      </c>
      <c r="G773" t="s">
        <v>43</v>
      </c>
      <c r="H773" t="s">
        <v>44</v>
      </c>
      <c r="I773" t="s">
        <v>44</v>
      </c>
      <c r="J773" t="s">
        <v>49</v>
      </c>
      <c r="K773" s="9">
        <v>5</v>
      </c>
      <c r="L773" s="10">
        <f>IFERROR(VLOOKUP(C773,Parâmetros!$A$5:$D$7,IF(D773="Mensal",2,IF(D773="Trimestral",3,4)),0),0)</f>
        <v>99</v>
      </c>
      <c r="M773" s="10">
        <f>IF(G773="Sim",VLOOKUP("EA Play",Parâmetros!$A$11:$B$13,2,0),0)*K773</f>
        <v>24.950000000000003</v>
      </c>
      <c r="N773" s="10">
        <f>IF(H773="Sim",VLOOKUP("Minecraft Pass",Parâmetros!$A$11:$B$13,2,0),0)*K773</f>
        <v>0</v>
      </c>
      <c r="O773" s="10">
        <f>IF(I773="Sim",VLOOKUP("Call of Duty Pass",Parâmetros!$A$11:$B$13,2,0),0)*K773</f>
        <v>0</v>
      </c>
      <c r="P773" s="10">
        <f>(L773*K773+M773+N773+O773)*IF(F773="Promoção",1-Parâmetros!$B$22,1)</f>
        <v>519.95000000000005</v>
      </c>
      <c r="Q773" s="10">
        <f>Parâmetros!$B$20*K773</f>
        <v>60</v>
      </c>
      <c r="R773" s="10">
        <f>P773-Q773</f>
        <v>459.95000000000005</v>
      </c>
    </row>
    <row r="774" spans="1:18">
      <c r="A774">
        <v>773</v>
      </c>
      <c r="B774" s="8">
        <v>45641</v>
      </c>
      <c r="C774" t="s">
        <v>6</v>
      </c>
      <c r="D774" t="s">
        <v>46</v>
      </c>
      <c r="E774" t="s">
        <v>51</v>
      </c>
      <c r="F774" t="s">
        <v>48</v>
      </c>
      <c r="G774" t="s">
        <v>44</v>
      </c>
      <c r="H774" t="s">
        <v>44</v>
      </c>
      <c r="I774" t="s">
        <v>44</v>
      </c>
      <c r="J774" t="s">
        <v>49</v>
      </c>
      <c r="K774" s="9">
        <v>20</v>
      </c>
      <c r="L774" s="10">
        <f>IFERROR(VLOOKUP(C774,Parâmetros!$A$5:$D$7,IF(D774="Mensal",2,IF(D774="Trimestral",3,4)),0),0)</f>
        <v>9.99</v>
      </c>
      <c r="M774" s="10">
        <f>IF(G774="Sim",VLOOKUP("EA Play",Parâmetros!$A$11:$B$13,2,0),0)*K774</f>
        <v>0</v>
      </c>
      <c r="N774" s="10">
        <f>IF(H774="Sim",VLOOKUP("Minecraft Pass",Parâmetros!$A$11:$B$13,2,0),0)*K774</f>
        <v>0</v>
      </c>
      <c r="O774" s="10">
        <f>IF(I774="Sim",VLOOKUP("Call of Duty Pass",Parâmetros!$A$11:$B$13,2,0),0)*K774</f>
        <v>0</v>
      </c>
      <c r="P774" s="10">
        <f>(L774*K774+M774+N774+O774)*IF(F774="Promoção",1-Parâmetros!$B$22,1)</f>
        <v>199.8</v>
      </c>
      <c r="Q774" s="10">
        <f>Parâmetros!$B$20*K774</f>
        <v>240</v>
      </c>
      <c r="R774" s="10">
        <f>P774-Q774</f>
        <v>-40.199999999999989</v>
      </c>
    </row>
    <row r="775" spans="1:18">
      <c r="A775">
        <v>774</v>
      </c>
      <c r="B775" s="8">
        <v>45720</v>
      </c>
      <c r="C775" t="s">
        <v>6</v>
      </c>
      <c r="D775" t="s">
        <v>46</v>
      </c>
      <c r="E775" t="s">
        <v>55</v>
      </c>
      <c r="F775" t="s">
        <v>54</v>
      </c>
      <c r="G775" t="s">
        <v>44</v>
      </c>
      <c r="H775" t="s">
        <v>44</v>
      </c>
      <c r="I775" t="s">
        <v>44</v>
      </c>
      <c r="J775" t="s">
        <v>45</v>
      </c>
      <c r="K775" s="9">
        <v>30</v>
      </c>
      <c r="L775" s="10">
        <f>IFERROR(VLOOKUP(C775,Parâmetros!$A$5:$D$7,IF(D775="Mensal",2,IF(D775="Trimestral",3,4)),0),0)</f>
        <v>9.99</v>
      </c>
      <c r="M775" s="10">
        <f>IF(G775="Sim",VLOOKUP("EA Play",Parâmetros!$A$11:$B$13,2,0),0)*K775</f>
        <v>0</v>
      </c>
      <c r="N775" s="10">
        <f>IF(H775="Sim",VLOOKUP("Minecraft Pass",Parâmetros!$A$11:$B$13,2,0),0)*K775</f>
        <v>0</v>
      </c>
      <c r="O775" s="10">
        <f>IF(I775="Sim",VLOOKUP("Call of Duty Pass",Parâmetros!$A$11:$B$13,2,0),0)*K775</f>
        <v>0</v>
      </c>
      <c r="P775" s="10">
        <f>(L775*K775+M775+N775+O775)*IF(F775="Promoção",1-Parâmetros!$B$22,1)</f>
        <v>269.73</v>
      </c>
      <c r="Q775" s="10">
        <f>Parâmetros!$B$20*K775</f>
        <v>360</v>
      </c>
      <c r="R775" s="10">
        <f>P775-Q775</f>
        <v>-90.269999999999982</v>
      </c>
    </row>
    <row r="776" spans="1:18">
      <c r="A776">
        <v>775</v>
      </c>
      <c r="B776" s="8">
        <v>45930</v>
      </c>
      <c r="C776" t="s">
        <v>6</v>
      </c>
      <c r="D776" t="s">
        <v>46</v>
      </c>
      <c r="E776" t="s">
        <v>51</v>
      </c>
      <c r="F776" t="s">
        <v>54</v>
      </c>
      <c r="G776" t="s">
        <v>44</v>
      </c>
      <c r="H776" t="s">
        <v>43</v>
      </c>
      <c r="I776" t="s">
        <v>44</v>
      </c>
      <c r="J776" t="s">
        <v>45</v>
      </c>
      <c r="K776" s="9">
        <v>1</v>
      </c>
      <c r="L776" s="10">
        <f>IFERROR(VLOOKUP(C776,Parâmetros!$A$5:$D$7,IF(D776="Mensal",2,IF(D776="Trimestral",3,4)),0),0)</f>
        <v>9.99</v>
      </c>
      <c r="M776" s="10">
        <f>IF(G776="Sim",VLOOKUP("EA Play",Parâmetros!$A$11:$B$13,2,0),0)*K776</f>
        <v>0</v>
      </c>
      <c r="N776" s="10">
        <f>IF(H776="Sim",VLOOKUP("Minecraft Pass",Parâmetros!$A$11:$B$13,2,0),0)*K776</f>
        <v>3.99</v>
      </c>
      <c r="O776" s="10">
        <f>IF(I776="Sim",VLOOKUP("Call of Duty Pass",Parâmetros!$A$11:$B$13,2,0),0)*K776</f>
        <v>0</v>
      </c>
      <c r="P776" s="10">
        <f>(L776*K776+M776+N776+O776)*IF(F776="Promoção",1-Parâmetros!$B$22,1)</f>
        <v>12.582000000000001</v>
      </c>
      <c r="Q776" s="10">
        <f>Parâmetros!$B$20*K776</f>
        <v>12</v>
      </c>
      <c r="R776" s="10">
        <f>P776-Q776</f>
        <v>0.58200000000000074</v>
      </c>
    </row>
    <row r="777" spans="1:18">
      <c r="A777">
        <v>776</v>
      </c>
      <c r="B777" s="8">
        <v>45663</v>
      </c>
      <c r="C777" t="s">
        <v>6</v>
      </c>
      <c r="D777" t="s">
        <v>46</v>
      </c>
      <c r="E777" t="s">
        <v>47</v>
      </c>
      <c r="F777" t="s">
        <v>42</v>
      </c>
      <c r="G777" t="s">
        <v>43</v>
      </c>
      <c r="H777" t="s">
        <v>44</v>
      </c>
      <c r="I777" t="s">
        <v>44</v>
      </c>
      <c r="J777" t="s">
        <v>49</v>
      </c>
      <c r="K777" s="9">
        <v>2</v>
      </c>
      <c r="L777" s="10">
        <f>IFERROR(VLOOKUP(C777,Parâmetros!$A$5:$D$7,IF(D777="Mensal",2,IF(D777="Trimestral",3,4)),0),0)</f>
        <v>9.99</v>
      </c>
      <c r="M777" s="10">
        <f>IF(G777="Sim",VLOOKUP("EA Play",Parâmetros!$A$11:$B$13,2,0),0)*K777</f>
        <v>9.98</v>
      </c>
      <c r="N777" s="10">
        <f>IF(H777="Sim",VLOOKUP("Minecraft Pass",Parâmetros!$A$11:$B$13,2,0),0)*K777</f>
        <v>0</v>
      </c>
      <c r="O777" s="10">
        <f>IF(I777="Sim",VLOOKUP("Call of Duty Pass",Parâmetros!$A$11:$B$13,2,0),0)*K777</f>
        <v>0</v>
      </c>
      <c r="P777" s="10">
        <f>(L777*K777+M777+N777+O777)*IF(F777="Promoção",1-Parâmetros!$B$22,1)</f>
        <v>29.96</v>
      </c>
      <c r="Q777" s="10">
        <f>Parâmetros!$B$20*K777</f>
        <v>24</v>
      </c>
      <c r="R777" s="10">
        <f>P777-Q777</f>
        <v>5.9600000000000009</v>
      </c>
    </row>
    <row r="778" spans="1:18">
      <c r="A778">
        <v>777</v>
      </c>
      <c r="B778" s="8">
        <v>45495</v>
      </c>
      <c r="C778" t="s">
        <v>6</v>
      </c>
      <c r="D778" t="s">
        <v>46</v>
      </c>
      <c r="E778" t="s">
        <v>55</v>
      </c>
      <c r="F778" t="s">
        <v>52</v>
      </c>
      <c r="G778" t="s">
        <v>43</v>
      </c>
      <c r="H778" t="s">
        <v>44</v>
      </c>
      <c r="I778" t="s">
        <v>43</v>
      </c>
      <c r="J778" t="s">
        <v>49</v>
      </c>
      <c r="K778" s="9">
        <v>17</v>
      </c>
      <c r="L778" s="10">
        <f>IFERROR(VLOOKUP(C778,Parâmetros!$A$5:$D$7,IF(D778="Mensal",2,IF(D778="Trimestral",3,4)),0),0)</f>
        <v>9.99</v>
      </c>
      <c r="M778" s="10">
        <f>IF(G778="Sim",VLOOKUP("EA Play",Parâmetros!$A$11:$B$13,2,0),0)*K778</f>
        <v>84.83</v>
      </c>
      <c r="N778" s="10">
        <f>IF(H778="Sim",VLOOKUP("Minecraft Pass",Parâmetros!$A$11:$B$13,2,0),0)*K778</f>
        <v>0</v>
      </c>
      <c r="O778" s="10">
        <f>IF(I778="Sim",VLOOKUP("Call of Duty Pass",Parâmetros!$A$11:$B$13,2,0),0)*K778</f>
        <v>118.83</v>
      </c>
      <c r="P778" s="10">
        <f>(L778*K778+M778+N778+O778)*IF(F778="Promoção",1-Parâmetros!$B$22,1)</f>
        <v>373.49</v>
      </c>
      <c r="Q778" s="10">
        <f>Parâmetros!$B$20*K778</f>
        <v>204</v>
      </c>
      <c r="R778" s="10">
        <f>P778-Q778</f>
        <v>169.49</v>
      </c>
    </row>
    <row r="779" spans="1:18">
      <c r="A779">
        <v>778</v>
      </c>
      <c r="B779" s="8">
        <v>45395</v>
      </c>
      <c r="C779" t="s">
        <v>6</v>
      </c>
      <c r="D779" t="s">
        <v>40</v>
      </c>
      <c r="E779" t="s">
        <v>41</v>
      </c>
      <c r="F779" t="s">
        <v>52</v>
      </c>
      <c r="G779" t="s">
        <v>43</v>
      </c>
      <c r="H779" t="s">
        <v>44</v>
      </c>
      <c r="I779" t="s">
        <v>44</v>
      </c>
      <c r="J779" t="s">
        <v>49</v>
      </c>
      <c r="K779" s="9">
        <v>24</v>
      </c>
      <c r="L779" s="10">
        <f>IFERROR(VLOOKUP(C779,Parâmetros!$A$5:$D$7,IF(D779="Mensal",2,IF(D779="Trimestral",3,4)),0),0)</f>
        <v>27</v>
      </c>
      <c r="M779" s="10">
        <f>IF(G779="Sim",VLOOKUP("EA Play",Parâmetros!$A$11:$B$13,2,0),0)*K779</f>
        <v>119.76</v>
      </c>
      <c r="N779" s="10">
        <f>IF(H779="Sim",VLOOKUP("Minecraft Pass",Parâmetros!$A$11:$B$13,2,0),0)*K779</f>
        <v>0</v>
      </c>
      <c r="O779" s="10">
        <f>IF(I779="Sim",VLOOKUP("Call of Duty Pass",Parâmetros!$A$11:$B$13,2,0),0)*K779</f>
        <v>0</v>
      </c>
      <c r="P779" s="10">
        <f>(L779*K779+M779+N779+O779)*IF(F779="Promoção",1-Parâmetros!$B$22,1)</f>
        <v>767.76</v>
      </c>
      <c r="Q779" s="10">
        <f>Parâmetros!$B$20*K779</f>
        <v>288</v>
      </c>
      <c r="R779" s="10">
        <f>P779-Q779</f>
        <v>479.76</v>
      </c>
    </row>
    <row r="780" spans="1:18">
      <c r="A780">
        <v>779</v>
      </c>
      <c r="B780" s="8">
        <v>45968</v>
      </c>
      <c r="C780" t="s">
        <v>6</v>
      </c>
      <c r="D780" t="s">
        <v>40</v>
      </c>
      <c r="E780" t="s">
        <v>51</v>
      </c>
      <c r="F780" t="s">
        <v>52</v>
      </c>
      <c r="G780" t="s">
        <v>43</v>
      </c>
      <c r="H780" t="s">
        <v>44</v>
      </c>
      <c r="I780" t="s">
        <v>43</v>
      </c>
      <c r="J780" t="s">
        <v>45</v>
      </c>
      <c r="K780" s="9">
        <v>9</v>
      </c>
      <c r="L780" s="10">
        <f>IFERROR(VLOOKUP(C780,Parâmetros!$A$5:$D$7,IF(D780="Mensal",2,IF(D780="Trimestral",3,4)),0),0)</f>
        <v>27</v>
      </c>
      <c r="M780" s="10">
        <f>IF(G780="Sim",VLOOKUP("EA Play",Parâmetros!$A$11:$B$13,2,0),0)*K780</f>
        <v>44.910000000000004</v>
      </c>
      <c r="N780" s="10">
        <f>IF(H780="Sim",VLOOKUP("Minecraft Pass",Parâmetros!$A$11:$B$13,2,0),0)*K780</f>
        <v>0</v>
      </c>
      <c r="O780" s="10">
        <f>IF(I780="Sim",VLOOKUP("Call of Duty Pass",Parâmetros!$A$11:$B$13,2,0),0)*K780</f>
        <v>62.910000000000004</v>
      </c>
      <c r="P780" s="10">
        <f>(L780*K780+M780+N780+O780)*IF(F780="Promoção",1-Parâmetros!$B$22,1)</f>
        <v>350.82000000000005</v>
      </c>
      <c r="Q780" s="10">
        <f>Parâmetros!$B$20*K780</f>
        <v>108</v>
      </c>
      <c r="R780" s="10">
        <f>P780-Q780</f>
        <v>242.82000000000005</v>
      </c>
    </row>
    <row r="781" spans="1:18">
      <c r="A781">
        <v>780</v>
      </c>
      <c r="B781" s="8">
        <v>45486</v>
      </c>
      <c r="C781" t="s">
        <v>6</v>
      </c>
      <c r="D781" t="s">
        <v>46</v>
      </c>
      <c r="E781" t="s">
        <v>41</v>
      </c>
      <c r="F781" t="s">
        <v>48</v>
      </c>
      <c r="G781" t="s">
        <v>44</v>
      </c>
      <c r="H781" t="s">
        <v>43</v>
      </c>
      <c r="I781" t="s">
        <v>43</v>
      </c>
      <c r="J781" t="s">
        <v>45</v>
      </c>
      <c r="K781" s="9">
        <v>13</v>
      </c>
      <c r="L781" s="10">
        <f>IFERROR(VLOOKUP(C781,Parâmetros!$A$5:$D$7,IF(D781="Mensal",2,IF(D781="Trimestral",3,4)),0),0)</f>
        <v>9.99</v>
      </c>
      <c r="M781" s="10">
        <f>IF(G781="Sim",VLOOKUP("EA Play",Parâmetros!$A$11:$B$13,2,0),0)*K781</f>
        <v>0</v>
      </c>
      <c r="N781" s="10">
        <f>IF(H781="Sim",VLOOKUP("Minecraft Pass",Parâmetros!$A$11:$B$13,2,0),0)*K781</f>
        <v>51.870000000000005</v>
      </c>
      <c r="O781" s="10">
        <f>IF(I781="Sim",VLOOKUP("Call of Duty Pass",Parâmetros!$A$11:$B$13,2,0),0)*K781</f>
        <v>90.87</v>
      </c>
      <c r="P781" s="10">
        <f>(L781*K781+M781+N781+O781)*IF(F781="Promoção",1-Parâmetros!$B$22,1)</f>
        <v>272.61</v>
      </c>
      <c r="Q781" s="10">
        <f>Parâmetros!$B$20*K781</f>
        <v>156</v>
      </c>
      <c r="R781" s="10">
        <f>P781-Q781</f>
        <v>116.61000000000001</v>
      </c>
    </row>
    <row r="782" spans="1:18">
      <c r="A782">
        <v>781</v>
      </c>
      <c r="B782" s="8">
        <v>45840</v>
      </c>
      <c r="C782" t="s">
        <v>6</v>
      </c>
      <c r="D782" t="s">
        <v>46</v>
      </c>
      <c r="E782" t="s">
        <v>41</v>
      </c>
      <c r="F782" t="s">
        <v>52</v>
      </c>
      <c r="G782" t="s">
        <v>43</v>
      </c>
      <c r="H782" t="s">
        <v>43</v>
      </c>
      <c r="I782" t="s">
        <v>44</v>
      </c>
      <c r="J782" t="s">
        <v>45</v>
      </c>
      <c r="K782" s="9">
        <v>32</v>
      </c>
      <c r="L782" s="10">
        <f>IFERROR(VLOOKUP(C782,Parâmetros!$A$5:$D$7,IF(D782="Mensal",2,IF(D782="Trimestral",3,4)),0),0)</f>
        <v>9.99</v>
      </c>
      <c r="M782" s="10">
        <f>IF(G782="Sim",VLOOKUP("EA Play",Parâmetros!$A$11:$B$13,2,0),0)*K782</f>
        <v>159.68</v>
      </c>
      <c r="N782" s="10">
        <f>IF(H782="Sim",VLOOKUP("Minecraft Pass",Parâmetros!$A$11:$B$13,2,0),0)*K782</f>
        <v>127.68</v>
      </c>
      <c r="O782" s="10">
        <f>IF(I782="Sim",VLOOKUP("Call of Duty Pass",Parâmetros!$A$11:$B$13,2,0),0)*K782</f>
        <v>0</v>
      </c>
      <c r="P782" s="10">
        <f>(L782*K782+M782+N782+O782)*IF(F782="Promoção",1-Parâmetros!$B$22,1)</f>
        <v>607.04</v>
      </c>
      <c r="Q782" s="10">
        <f>Parâmetros!$B$20*K782</f>
        <v>384</v>
      </c>
      <c r="R782" s="10">
        <f>P782-Q782</f>
        <v>223.03999999999996</v>
      </c>
    </row>
    <row r="783" spans="1:18">
      <c r="A783">
        <v>782</v>
      </c>
      <c r="B783" s="8">
        <v>45506</v>
      </c>
      <c r="C783" t="s">
        <v>7</v>
      </c>
      <c r="D783" t="s">
        <v>40</v>
      </c>
      <c r="E783" t="s">
        <v>51</v>
      </c>
      <c r="F783" t="s">
        <v>52</v>
      </c>
      <c r="G783" t="s">
        <v>43</v>
      </c>
      <c r="H783" t="s">
        <v>43</v>
      </c>
      <c r="I783" t="s">
        <v>44</v>
      </c>
      <c r="J783" t="s">
        <v>45</v>
      </c>
      <c r="K783" s="9">
        <v>24</v>
      </c>
      <c r="L783" s="10">
        <f>IFERROR(VLOOKUP(C783,Parâmetros!$A$5:$D$7,IF(D783="Mensal",2,IF(D783="Trimestral",3,4)),0),0)</f>
        <v>40</v>
      </c>
      <c r="M783" s="10">
        <f>IF(G783="Sim",VLOOKUP("EA Play",Parâmetros!$A$11:$B$13,2,0),0)*K783</f>
        <v>119.76</v>
      </c>
      <c r="N783" s="10">
        <f>IF(H783="Sim",VLOOKUP("Minecraft Pass",Parâmetros!$A$11:$B$13,2,0),0)*K783</f>
        <v>95.76</v>
      </c>
      <c r="O783" s="10">
        <f>IF(I783="Sim",VLOOKUP("Call of Duty Pass",Parâmetros!$A$11:$B$13,2,0),0)*K783</f>
        <v>0</v>
      </c>
      <c r="P783" s="10">
        <f>(L783*K783+M783+N783+O783)*IF(F783="Promoção",1-Parâmetros!$B$22,1)</f>
        <v>1175.52</v>
      </c>
      <c r="Q783" s="10">
        <f>Parâmetros!$B$20*K783</f>
        <v>288</v>
      </c>
      <c r="R783" s="10">
        <f>P783-Q783</f>
        <v>887.52</v>
      </c>
    </row>
    <row r="784" spans="1:18">
      <c r="A784">
        <v>783</v>
      </c>
      <c r="B784" s="8">
        <v>45802</v>
      </c>
      <c r="C784" t="s">
        <v>7</v>
      </c>
      <c r="D784" t="s">
        <v>46</v>
      </c>
      <c r="E784" t="s">
        <v>51</v>
      </c>
      <c r="F784" t="s">
        <v>48</v>
      </c>
      <c r="G784" t="s">
        <v>44</v>
      </c>
      <c r="H784" t="s">
        <v>44</v>
      </c>
      <c r="I784" t="s">
        <v>44</v>
      </c>
      <c r="J784" t="s">
        <v>45</v>
      </c>
      <c r="K784" s="9">
        <v>3</v>
      </c>
      <c r="L784" s="10">
        <f>IFERROR(VLOOKUP(C784,Parâmetros!$A$5:$D$7,IF(D784="Mensal",2,IF(D784="Trimestral",3,4)),0),0)</f>
        <v>14.99</v>
      </c>
      <c r="M784" s="10">
        <f>IF(G784="Sim",VLOOKUP("EA Play",Parâmetros!$A$11:$B$13,2,0),0)*K784</f>
        <v>0</v>
      </c>
      <c r="N784" s="10">
        <f>IF(H784="Sim",VLOOKUP("Minecraft Pass",Parâmetros!$A$11:$B$13,2,0),0)*K784</f>
        <v>0</v>
      </c>
      <c r="O784" s="10">
        <f>IF(I784="Sim",VLOOKUP("Call of Duty Pass",Parâmetros!$A$11:$B$13,2,0),0)*K784</f>
        <v>0</v>
      </c>
      <c r="P784" s="10">
        <f>(L784*K784+M784+N784+O784)*IF(F784="Promoção",1-Parâmetros!$B$22,1)</f>
        <v>44.97</v>
      </c>
      <c r="Q784" s="10">
        <f>Parâmetros!$B$20*K784</f>
        <v>36</v>
      </c>
      <c r="R784" s="10">
        <f>P784-Q784</f>
        <v>8.9699999999999989</v>
      </c>
    </row>
    <row r="785" spans="1:18">
      <c r="A785">
        <v>784</v>
      </c>
      <c r="B785" s="8">
        <v>45504</v>
      </c>
      <c r="C785" t="s">
        <v>6</v>
      </c>
      <c r="D785" t="s">
        <v>46</v>
      </c>
      <c r="E785" t="s">
        <v>55</v>
      </c>
      <c r="F785" t="s">
        <v>42</v>
      </c>
      <c r="G785" t="s">
        <v>43</v>
      </c>
      <c r="H785" t="s">
        <v>44</v>
      </c>
      <c r="I785" t="s">
        <v>44</v>
      </c>
      <c r="J785" t="s">
        <v>45</v>
      </c>
      <c r="K785" s="9">
        <v>24</v>
      </c>
      <c r="L785" s="10">
        <f>IFERROR(VLOOKUP(C785,Parâmetros!$A$5:$D$7,IF(D785="Mensal",2,IF(D785="Trimestral",3,4)),0),0)</f>
        <v>9.99</v>
      </c>
      <c r="M785" s="10">
        <f>IF(G785="Sim",VLOOKUP("EA Play",Parâmetros!$A$11:$B$13,2,0),0)*K785</f>
        <v>119.76</v>
      </c>
      <c r="N785" s="10">
        <f>IF(H785="Sim",VLOOKUP("Minecraft Pass",Parâmetros!$A$11:$B$13,2,0),0)*K785</f>
        <v>0</v>
      </c>
      <c r="O785" s="10">
        <f>IF(I785="Sim",VLOOKUP("Call of Duty Pass",Parâmetros!$A$11:$B$13,2,0),0)*K785</f>
        <v>0</v>
      </c>
      <c r="P785" s="10">
        <f>(L785*K785+M785+N785+O785)*IF(F785="Promoção",1-Parâmetros!$B$22,1)</f>
        <v>359.52</v>
      </c>
      <c r="Q785" s="10">
        <f>Parâmetros!$B$20*K785</f>
        <v>288</v>
      </c>
      <c r="R785" s="10">
        <f>P785-Q785</f>
        <v>71.519999999999982</v>
      </c>
    </row>
    <row r="786" spans="1:18">
      <c r="A786">
        <v>785</v>
      </c>
      <c r="B786" s="8">
        <v>45552</v>
      </c>
      <c r="C786" t="s">
        <v>7</v>
      </c>
      <c r="D786" t="s">
        <v>46</v>
      </c>
      <c r="E786" t="s">
        <v>41</v>
      </c>
      <c r="F786" t="s">
        <v>48</v>
      </c>
      <c r="G786" t="s">
        <v>43</v>
      </c>
      <c r="H786" t="s">
        <v>44</v>
      </c>
      <c r="I786" t="s">
        <v>44</v>
      </c>
      <c r="J786" t="s">
        <v>45</v>
      </c>
      <c r="K786" s="9">
        <v>28</v>
      </c>
      <c r="L786" s="10">
        <f>IFERROR(VLOOKUP(C786,Parâmetros!$A$5:$D$7,IF(D786="Mensal",2,IF(D786="Trimestral",3,4)),0),0)</f>
        <v>14.99</v>
      </c>
      <c r="M786" s="10">
        <f>IF(G786="Sim",VLOOKUP("EA Play",Parâmetros!$A$11:$B$13,2,0),0)*K786</f>
        <v>139.72</v>
      </c>
      <c r="N786" s="10">
        <f>IF(H786="Sim",VLOOKUP("Minecraft Pass",Parâmetros!$A$11:$B$13,2,0),0)*K786</f>
        <v>0</v>
      </c>
      <c r="O786" s="10">
        <f>IF(I786="Sim",VLOOKUP("Call of Duty Pass",Parâmetros!$A$11:$B$13,2,0),0)*K786</f>
        <v>0</v>
      </c>
      <c r="P786" s="10">
        <f>(L786*K786+M786+N786+O786)*IF(F786="Promoção",1-Parâmetros!$B$22,1)</f>
        <v>559.44000000000005</v>
      </c>
      <c r="Q786" s="10">
        <f>Parâmetros!$B$20*K786</f>
        <v>336</v>
      </c>
      <c r="R786" s="10">
        <f>P786-Q786</f>
        <v>223.44000000000005</v>
      </c>
    </row>
    <row r="787" spans="1:18">
      <c r="A787">
        <v>786</v>
      </c>
      <c r="B787" s="8">
        <v>45753</v>
      </c>
      <c r="C787" t="s">
        <v>7</v>
      </c>
      <c r="D787" t="s">
        <v>46</v>
      </c>
      <c r="E787" t="s">
        <v>51</v>
      </c>
      <c r="F787" t="s">
        <v>42</v>
      </c>
      <c r="G787" t="s">
        <v>43</v>
      </c>
      <c r="H787" t="s">
        <v>43</v>
      </c>
      <c r="I787" t="s">
        <v>43</v>
      </c>
      <c r="J787" t="s">
        <v>45</v>
      </c>
      <c r="K787" s="9">
        <v>23</v>
      </c>
      <c r="L787" s="10">
        <f>IFERROR(VLOOKUP(C787,Parâmetros!$A$5:$D$7,IF(D787="Mensal",2,IF(D787="Trimestral",3,4)),0),0)</f>
        <v>14.99</v>
      </c>
      <c r="M787" s="10">
        <f>IF(G787="Sim",VLOOKUP("EA Play",Parâmetros!$A$11:$B$13,2,0),0)*K787</f>
        <v>114.77000000000001</v>
      </c>
      <c r="N787" s="10">
        <f>IF(H787="Sim",VLOOKUP("Minecraft Pass",Parâmetros!$A$11:$B$13,2,0),0)*K787</f>
        <v>91.77000000000001</v>
      </c>
      <c r="O787" s="10">
        <f>IF(I787="Sim",VLOOKUP("Call of Duty Pass",Parâmetros!$A$11:$B$13,2,0),0)*K787</f>
        <v>160.77000000000001</v>
      </c>
      <c r="P787" s="10">
        <f>(L787*K787+M787+N787+O787)*IF(F787="Promoção",1-Parâmetros!$B$22,1)</f>
        <v>712.07999999999993</v>
      </c>
      <c r="Q787" s="10">
        <f>Parâmetros!$B$20*K787</f>
        <v>276</v>
      </c>
      <c r="R787" s="10">
        <f>P787-Q787</f>
        <v>436.07999999999993</v>
      </c>
    </row>
    <row r="788" spans="1:18">
      <c r="A788">
        <v>787</v>
      </c>
      <c r="B788" s="8">
        <v>45376</v>
      </c>
      <c r="C788" t="s">
        <v>6</v>
      </c>
      <c r="D788" t="s">
        <v>40</v>
      </c>
      <c r="E788" t="s">
        <v>47</v>
      </c>
      <c r="F788" t="s">
        <v>42</v>
      </c>
      <c r="G788" t="s">
        <v>43</v>
      </c>
      <c r="H788" t="s">
        <v>43</v>
      </c>
      <c r="I788" t="s">
        <v>43</v>
      </c>
      <c r="J788" t="s">
        <v>49</v>
      </c>
      <c r="K788" s="9">
        <v>35</v>
      </c>
      <c r="L788" s="10">
        <f>IFERROR(VLOOKUP(C788,Parâmetros!$A$5:$D$7,IF(D788="Mensal",2,IF(D788="Trimestral",3,4)),0),0)</f>
        <v>27</v>
      </c>
      <c r="M788" s="10">
        <f>IF(G788="Sim",VLOOKUP("EA Play",Parâmetros!$A$11:$B$13,2,0),0)*K788</f>
        <v>174.65</v>
      </c>
      <c r="N788" s="10">
        <f>IF(H788="Sim",VLOOKUP("Minecraft Pass",Parâmetros!$A$11:$B$13,2,0),0)*K788</f>
        <v>139.65</v>
      </c>
      <c r="O788" s="10">
        <f>IF(I788="Sim",VLOOKUP("Call of Duty Pass",Parâmetros!$A$11:$B$13,2,0),0)*K788</f>
        <v>244.65</v>
      </c>
      <c r="P788" s="10">
        <f>(L788*K788+M788+N788+O788)*IF(F788="Promoção",1-Parâmetros!$B$22,1)</f>
        <v>1503.9500000000003</v>
      </c>
      <c r="Q788" s="10">
        <f>Parâmetros!$B$20*K788</f>
        <v>420</v>
      </c>
      <c r="R788" s="10">
        <f>P788-Q788</f>
        <v>1083.9500000000003</v>
      </c>
    </row>
    <row r="789" spans="1:18">
      <c r="A789">
        <v>788</v>
      </c>
      <c r="B789" s="8">
        <v>45497</v>
      </c>
      <c r="C789" t="s">
        <v>6</v>
      </c>
      <c r="D789" t="s">
        <v>40</v>
      </c>
      <c r="E789" t="s">
        <v>41</v>
      </c>
      <c r="F789" t="s">
        <v>52</v>
      </c>
      <c r="G789" t="s">
        <v>44</v>
      </c>
      <c r="H789" t="s">
        <v>44</v>
      </c>
      <c r="I789" t="s">
        <v>43</v>
      </c>
      <c r="J789" t="s">
        <v>45</v>
      </c>
      <c r="K789" s="9">
        <v>9</v>
      </c>
      <c r="L789" s="10">
        <f>IFERROR(VLOOKUP(C789,Parâmetros!$A$5:$D$7,IF(D789="Mensal",2,IF(D789="Trimestral",3,4)),0),0)</f>
        <v>27</v>
      </c>
      <c r="M789" s="10">
        <f>IF(G789="Sim",VLOOKUP("EA Play",Parâmetros!$A$11:$B$13,2,0),0)*K789</f>
        <v>0</v>
      </c>
      <c r="N789" s="10">
        <f>IF(H789="Sim",VLOOKUP("Minecraft Pass",Parâmetros!$A$11:$B$13,2,0),0)*K789</f>
        <v>0</v>
      </c>
      <c r="O789" s="10">
        <f>IF(I789="Sim",VLOOKUP("Call of Duty Pass",Parâmetros!$A$11:$B$13,2,0),0)*K789</f>
        <v>62.910000000000004</v>
      </c>
      <c r="P789" s="10">
        <f>(L789*K789+M789+N789+O789)*IF(F789="Promoção",1-Parâmetros!$B$22,1)</f>
        <v>305.91000000000003</v>
      </c>
      <c r="Q789" s="10">
        <f>Parâmetros!$B$20*K789</f>
        <v>108</v>
      </c>
      <c r="R789" s="10">
        <f>P789-Q789</f>
        <v>197.91000000000003</v>
      </c>
    </row>
    <row r="790" spans="1:18">
      <c r="A790">
        <v>789</v>
      </c>
      <c r="B790" s="8">
        <v>45848</v>
      </c>
      <c r="C790" t="s">
        <v>8</v>
      </c>
      <c r="D790" t="s">
        <v>46</v>
      </c>
      <c r="E790" t="s">
        <v>41</v>
      </c>
      <c r="F790" t="s">
        <v>54</v>
      </c>
      <c r="G790" t="s">
        <v>44</v>
      </c>
      <c r="H790" t="s">
        <v>44</v>
      </c>
      <c r="I790" t="s">
        <v>44</v>
      </c>
      <c r="J790" t="s">
        <v>45</v>
      </c>
      <c r="K790" s="9">
        <v>1</v>
      </c>
      <c r="L790" s="10">
        <f>IFERROR(VLOOKUP(C790,Parâmetros!$A$5:$D$7,IF(D790="Mensal",2,IF(D790="Trimestral",3,4)),0),0)</f>
        <v>21.99</v>
      </c>
      <c r="M790" s="10">
        <f>IF(G790="Sim",VLOOKUP("EA Play",Parâmetros!$A$11:$B$13,2,0),0)*K790</f>
        <v>0</v>
      </c>
      <c r="N790" s="10">
        <f>IF(H790="Sim",VLOOKUP("Minecraft Pass",Parâmetros!$A$11:$B$13,2,0),0)*K790</f>
        <v>0</v>
      </c>
      <c r="O790" s="10">
        <f>IF(I790="Sim",VLOOKUP("Call of Duty Pass",Parâmetros!$A$11:$B$13,2,0),0)*K790</f>
        <v>0</v>
      </c>
      <c r="P790" s="10">
        <f>(L790*K790+M790+N790+O790)*IF(F790="Promoção",1-Parâmetros!$B$22,1)</f>
        <v>19.791</v>
      </c>
      <c r="Q790" s="10">
        <f>Parâmetros!$B$20*K790</f>
        <v>12</v>
      </c>
      <c r="R790" s="10">
        <f>P790-Q790</f>
        <v>7.7910000000000004</v>
      </c>
    </row>
    <row r="791" spans="1:18">
      <c r="A791">
        <v>790</v>
      </c>
      <c r="B791" s="8">
        <v>45775</v>
      </c>
      <c r="C791" t="s">
        <v>7</v>
      </c>
      <c r="D791" t="s">
        <v>50</v>
      </c>
      <c r="E791" t="s">
        <v>53</v>
      </c>
      <c r="F791" t="s">
        <v>54</v>
      </c>
      <c r="G791" t="s">
        <v>43</v>
      </c>
      <c r="H791" t="s">
        <v>44</v>
      </c>
      <c r="I791" t="s">
        <v>43</v>
      </c>
      <c r="J791" t="s">
        <v>49</v>
      </c>
      <c r="K791" s="9">
        <v>30</v>
      </c>
      <c r="L791" s="10">
        <f>IFERROR(VLOOKUP(C791,Parâmetros!$A$5:$D$7,IF(D791="Mensal",2,IF(D791="Trimestral",3,4)),0),0)</f>
        <v>149</v>
      </c>
      <c r="M791" s="10">
        <f>IF(G791="Sim",VLOOKUP("EA Play",Parâmetros!$A$11:$B$13,2,0),0)*K791</f>
        <v>149.70000000000002</v>
      </c>
      <c r="N791" s="10">
        <f>IF(H791="Sim",VLOOKUP("Minecraft Pass",Parâmetros!$A$11:$B$13,2,0),0)*K791</f>
        <v>0</v>
      </c>
      <c r="O791" s="10">
        <f>IF(I791="Sim",VLOOKUP("Call of Duty Pass",Parâmetros!$A$11:$B$13,2,0),0)*K791</f>
        <v>209.70000000000002</v>
      </c>
      <c r="P791" s="10">
        <f>(L791*K791+M791+N791+O791)*IF(F791="Promoção",1-Parâmetros!$B$22,1)</f>
        <v>4346.46</v>
      </c>
      <c r="Q791" s="10">
        <f>Parâmetros!$B$20*K791</f>
        <v>360</v>
      </c>
      <c r="R791" s="10">
        <f>P791-Q791</f>
        <v>3986.46</v>
      </c>
    </row>
    <row r="792" spans="1:18">
      <c r="A792">
        <v>791</v>
      </c>
      <c r="B792" s="8">
        <v>45764</v>
      </c>
      <c r="C792" t="s">
        <v>6</v>
      </c>
      <c r="D792" t="s">
        <v>46</v>
      </c>
      <c r="E792" t="s">
        <v>55</v>
      </c>
      <c r="F792" t="s">
        <v>48</v>
      </c>
      <c r="G792" t="s">
        <v>44</v>
      </c>
      <c r="H792" t="s">
        <v>44</v>
      </c>
      <c r="I792" t="s">
        <v>44</v>
      </c>
      <c r="J792" t="s">
        <v>45</v>
      </c>
      <c r="K792" s="9">
        <v>2</v>
      </c>
      <c r="L792" s="10">
        <f>IFERROR(VLOOKUP(C792,Parâmetros!$A$5:$D$7,IF(D792="Mensal",2,IF(D792="Trimestral",3,4)),0),0)</f>
        <v>9.99</v>
      </c>
      <c r="M792" s="10">
        <f>IF(G792="Sim",VLOOKUP("EA Play",Parâmetros!$A$11:$B$13,2,0),0)*K792</f>
        <v>0</v>
      </c>
      <c r="N792" s="10">
        <f>IF(H792="Sim",VLOOKUP("Minecraft Pass",Parâmetros!$A$11:$B$13,2,0),0)*K792</f>
        <v>0</v>
      </c>
      <c r="O792" s="10">
        <f>IF(I792="Sim",VLOOKUP("Call of Duty Pass",Parâmetros!$A$11:$B$13,2,0),0)*K792</f>
        <v>0</v>
      </c>
      <c r="P792" s="10">
        <f>(L792*K792+M792+N792+O792)*IF(F792="Promoção",1-Parâmetros!$B$22,1)</f>
        <v>19.98</v>
      </c>
      <c r="Q792" s="10">
        <f>Parâmetros!$B$20*K792</f>
        <v>24</v>
      </c>
      <c r="R792" s="10">
        <f>P792-Q792</f>
        <v>-4.0199999999999996</v>
      </c>
    </row>
    <row r="793" spans="1:18">
      <c r="A793">
        <v>792</v>
      </c>
      <c r="B793" s="8">
        <v>45675</v>
      </c>
      <c r="C793" t="s">
        <v>6</v>
      </c>
      <c r="D793" t="s">
        <v>50</v>
      </c>
      <c r="E793" t="s">
        <v>41</v>
      </c>
      <c r="F793" t="s">
        <v>52</v>
      </c>
      <c r="G793" t="s">
        <v>44</v>
      </c>
      <c r="H793" t="s">
        <v>44</v>
      </c>
      <c r="I793" t="s">
        <v>44</v>
      </c>
      <c r="J793" t="s">
        <v>49</v>
      </c>
      <c r="K793" s="9">
        <v>28</v>
      </c>
      <c r="L793" s="10">
        <f>IFERROR(VLOOKUP(C793,Parâmetros!$A$5:$D$7,IF(D793="Mensal",2,IF(D793="Trimestral",3,4)),0),0)</f>
        <v>99</v>
      </c>
      <c r="M793" s="10">
        <f>IF(G793="Sim",VLOOKUP("EA Play",Parâmetros!$A$11:$B$13,2,0),0)*K793</f>
        <v>0</v>
      </c>
      <c r="N793" s="10">
        <f>IF(H793="Sim",VLOOKUP("Minecraft Pass",Parâmetros!$A$11:$B$13,2,0),0)*K793</f>
        <v>0</v>
      </c>
      <c r="O793" s="10">
        <f>IF(I793="Sim",VLOOKUP("Call of Duty Pass",Parâmetros!$A$11:$B$13,2,0),0)*K793</f>
        <v>0</v>
      </c>
      <c r="P793" s="10">
        <f>(L793*K793+M793+N793+O793)*IF(F793="Promoção",1-Parâmetros!$B$22,1)</f>
        <v>2772</v>
      </c>
      <c r="Q793" s="10">
        <f>Parâmetros!$B$20*K793</f>
        <v>336</v>
      </c>
      <c r="R793" s="10">
        <f>P793-Q793</f>
        <v>2436</v>
      </c>
    </row>
    <row r="794" spans="1:18">
      <c r="A794">
        <v>793</v>
      </c>
      <c r="B794" s="8">
        <v>45994</v>
      </c>
      <c r="C794" t="s">
        <v>8</v>
      </c>
      <c r="D794" t="s">
        <v>40</v>
      </c>
      <c r="E794" t="s">
        <v>51</v>
      </c>
      <c r="F794" t="s">
        <v>42</v>
      </c>
      <c r="G794" t="s">
        <v>44</v>
      </c>
      <c r="H794" t="s">
        <v>44</v>
      </c>
      <c r="I794" t="s">
        <v>43</v>
      </c>
      <c r="J794" t="s">
        <v>49</v>
      </c>
      <c r="K794" s="9">
        <v>22</v>
      </c>
      <c r="L794" s="10">
        <f>IFERROR(VLOOKUP(C794,Parâmetros!$A$5:$D$7,IF(D794="Mensal",2,IF(D794="Trimestral",3,4)),0),0)</f>
        <v>59</v>
      </c>
      <c r="M794" s="10">
        <f>IF(G794="Sim",VLOOKUP("EA Play",Parâmetros!$A$11:$B$13,2,0),0)*K794</f>
        <v>0</v>
      </c>
      <c r="N794" s="10">
        <f>IF(H794="Sim",VLOOKUP("Minecraft Pass",Parâmetros!$A$11:$B$13,2,0),0)*K794</f>
        <v>0</v>
      </c>
      <c r="O794" s="10">
        <f>IF(I794="Sim",VLOOKUP("Call of Duty Pass",Parâmetros!$A$11:$B$13,2,0),0)*K794</f>
        <v>153.78</v>
      </c>
      <c r="P794" s="10">
        <f>(L794*K794+M794+N794+O794)*IF(F794="Promoção",1-Parâmetros!$B$22,1)</f>
        <v>1451.78</v>
      </c>
      <c r="Q794" s="10">
        <f>Parâmetros!$B$20*K794</f>
        <v>264</v>
      </c>
      <c r="R794" s="10">
        <f>P794-Q794</f>
        <v>1187.78</v>
      </c>
    </row>
    <row r="795" spans="1:18">
      <c r="A795">
        <v>794</v>
      </c>
      <c r="B795" s="8">
        <v>45873</v>
      </c>
      <c r="C795" t="s">
        <v>7</v>
      </c>
      <c r="D795" t="s">
        <v>40</v>
      </c>
      <c r="E795" t="s">
        <v>47</v>
      </c>
      <c r="F795" t="s">
        <v>54</v>
      </c>
      <c r="G795" t="s">
        <v>44</v>
      </c>
      <c r="H795" t="s">
        <v>43</v>
      </c>
      <c r="I795" t="s">
        <v>44</v>
      </c>
      <c r="J795" t="s">
        <v>49</v>
      </c>
      <c r="K795" s="9">
        <v>13</v>
      </c>
      <c r="L795" s="10">
        <f>IFERROR(VLOOKUP(C795,Parâmetros!$A$5:$D$7,IF(D795="Mensal",2,IF(D795="Trimestral",3,4)),0),0)</f>
        <v>40</v>
      </c>
      <c r="M795" s="10">
        <f>IF(G795="Sim",VLOOKUP("EA Play",Parâmetros!$A$11:$B$13,2,0),0)*K795</f>
        <v>0</v>
      </c>
      <c r="N795" s="10">
        <f>IF(H795="Sim",VLOOKUP("Minecraft Pass",Parâmetros!$A$11:$B$13,2,0),0)*K795</f>
        <v>51.870000000000005</v>
      </c>
      <c r="O795" s="10">
        <f>IF(I795="Sim",VLOOKUP("Call of Duty Pass",Parâmetros!$A$11:$B$13,2,0),0)*K795</f>
        <v>0</v>
      </c>
      <c r="P795" s="10">
        <f>(L795*K795+M795+N795+O795)*IF(F795="Promoção",1-Parâmetros!$B$22,1)</f>
        <v>514.68299999999999</v>
      </c>
      <c r="Q795" s="10">
        <f>Parâmetros!$B$20*K795</f>
        <v>156</v>
      </c>
      <c r="R795" s="10">
        <f>P795-Q795</f>
        <v>358.68299999999999</v>
      </c>
    </row>
    <row r="796" spans="1:18">
      <c r="A796">
        <v>795</v>
      </c>
      <c r="B796" s="8">
        <v>45778</v>
      </c>
      <c r="C796" t="s">
        <v>6</v>
      </c>
      <c r="D796" t="s">
        <v>40</v>
      </c>
      <c r="E796" t="s">
        <v>47</v>
      </c>
      <c r="F796" t="s">
        <v>54</v>
      </c>
      <c r="G796" t="s">
        <v>43</v>
      </c>
      <c r="H796" t="s">
        <v>43</v>
      </c>
      <c r="I796" t="s">
        <v>44</v>
      </c>
      <c r="J796" t="s">
        <v>49</v>
      </c>
      <c r="K796" s="9">
        <v>32</v>
      </c>
      <c r="L796" s="10">
        <f>IFERROR(VLOOKUP(C796,Parâmetros!$A$5:$D$7,IF(D796="Mensal",2,IF(D796="Trimestral",3,4)),0),0)</f>
        <v>27</v>
      </c>
      <c r="M796" s="10">
        <f>IF(G796="Sim",VLOOKUP("EA Play",Parâmetros!$A$11:$B$13,2,0),0)*K796</f>
        <v>159.68</v>
      </c>
      <c r="N796" s="10">
        <f>IF(H796="Sim",VLOOKUP("Minecraft Pass",Parâmetros!$A$11:$B$13,2,0),0)*K796</f>
        <v>127.68</v>
      </c>
      <c r="O796" s="10">
        <f>IF(I796="Sim",VLOOKUP("Call of Duty Pass",Parâmetros!$A$11:$B$13,2,0),0)*K796</f>
        <v>0</v>
      </c>
      <c r="P796" s="10">
        <f>(L796*K796+M796+N796+O796)*IF(F796="Promoção",1-Parâmetros!$B$22,1)</f>
        <v>1036.2240000000002</v>
      </c>
      <c r="Q796" s="10">
        <f>Parâmetros!$B$20*K796</f>
        <v>384</v>
      </c>
      <c r="R796" s="10">
        <f>P796-Q796</f>
        <v>652.22400000000016</v>
      </c>
    </row>
    <row r="797" spans="1:18">
      <c r="A797">
        <v>796</v>
      </c>
      <c r="B797" s="8">
        <v>45319</v>
      </c>
      <c r="C797" t="s">
        <v>6</v>
      </c>
      <c r="D797" t="s">
        <v>46</v>
      </c>
      <c r="E797" t="s">
        <v>53</v>
      </c>
      <c r="F797" t="s">
        <v>42</v>
      </c>
      <c r="G797" t="s">
        <v>43</v>
      </c>
      <c r="H797" t="s">
        <v>44</v>
      </c>
      <c r="I797" t="s">
        <v>43</v>
      </c>
      <c r="J797" t="s">
        <v>49</v>
      </c>
      <c r="K797" s="9">
        <v>34</v>
      </c>
      <c r="L797" s="10">
        <f>IFERROR(VLOOKUP(C797,Parâmetros!$A$5:$D$7,IF(D797="Mensal",2,IF(D797="Trimestral",3,4)),0),0)</f>
        <v>9.99</v>
      </c>
      <c r="M797" s="10">
        <f>IF(G797="Sim",VLOOKUP("EA Play",Parâmetros!$A$11:$B$13,2,0),0)*K797</f>
        <v>169.66</v>
      </c>
      <c r="N797" s="10">
        <f>IF(H797="Sim",VLOOKUP("Minecraft Pass",Parâmetros!$A$11:$B$13,2,0),0)*K797</f>
        <v>0</v>
      </c>
      <c r="O797" s="10">
        <f>IF(I797="Sim",VLOOKUP("Call of Duty Pass",Parâmetros!$A$11:$B$13,2,0),0)*K797</f>
        <v>237.66</v>
      </c>
      <c r="P797" s="10">
        <f>(L797*K797+M797+N797+O797)*IF(F797="Promoção",1-Parâmetros!$B$22,1)</f>
        <v>746.98</v>
      </c>
      <c r="Q797" s="10">
        <f>Parâmetros!$B$20*K797</f>
        <v>408</v>
      </c>
      <c r="R797" s="10">
        <f>P797-Q797</f>
        <v>338.98</v>
      </c>
    </row>
    <row r="798" spans="1:18">
      <c r="A798">
        <v>797</v>
      </c>
      <c r="B798" s="8">
        <v>45303</v>
      </c>
      <c r="C798" t="s">
        <v>6</v>
      </c>
      <c r="D798" t="s">
        <v>50</v>
      </c>
      <c r="E798" t="s">
        <v>41</v>
      </c>
      <c r="F798" t="s">
        <v>42</v>
      </c>
      <c r="G798" t="s">
        <v>43</v>
      </c>
      <c r="H798" t="s">
        <v>44</v>
      </c>
      <c r="I798" t="s">
        <v>44</v>
      </c>
      <c r="J798" t="s">
        <v>49</v>
      </c>
      <c r="K798" s="9">
        <v>14</v>
      </c>
      <c r="L798" s="10">
        <f>IFERROR(VLOOKUP(C798,Parâmetros!$A$5:$D$7,IF(D798="Mensal",2,IF(D798="Trimestral",3,4)),0),0)</f>
        <v>99</v>
      </c>
      <c r="M798" s="10">
        <f>IF(G798="Sim",VLOOKUP("EA Play",Parâmetros!$A$11:$B$13,2,0),0)*K798</f>
        <v>69.86</v>
      </c>
      <c r="N798" s="10">
        <f>IF(H798="Sim",VLOOKUP("Minecraft Pass",Parâmetros!$A$11:$B$13,2,0),0)*K798</f>
        <v>0</v>
      </c>
      <c r="O798" s="10">
        <f>IF(I798="Sim",VLOOKUP("Call of Duty Pass",Parâmetros!$A$11:$B$13,2,0),0)*K798</f>
        <v>0</v>
      </c>
      <c r="P798" s="10">
        <f>(L798*K798+M798+N798+O798)*IF(F798="Promoção",1-Parâmetros!$B$22,1)</f>
        <v>1455.86</v>
      </c>
      <c r="Q798" s="10">
        <f>Parâmetros!$B$20*K798</f>
        <v>168</v>
      </c>
      <c r="R798" s="10">
        <f>P798-Q798</f>
        <v>1287.8599999999999</v>
      </c>
    </row>
    <row r="799" spans="1:18">
      <c r="A799">
        <v>798</v>
      </c>
      <c r="B799" s="8">
        <v>45425</v>
      </c>
      <c r="C799" t="s">
        <v>8</v>
      </c>
      <c r="D799" t="s">
        <v>46</v>
      </c>
      <c r="E799" t="s">
        <v>51</v>
      </c>
      <c r="F799" t="s">
        <v>52</v>
      </c>
      <c r="G799" t="s">
        <v>43</v>
      </c>
      <c r="H799" t="s">
        <v>44</v>
      </c>
      <c r="I799" t="s">
        <v>44</v>
      </c>
      <c r="J799" t="s">
        <v>49</v>
      </c>
      <c r="K799" s="9">
        <v>30</v>
      </c>
      <c r="L799" s="10">
        <f>IFERROR(VLOOKUP(C799,Parâmetros!$A$5:$D$7,IF(D799="Mensal",2,IF(D799="Trimestral",3,4)),0),0)</f>
        <v>21.99</v>
      </c>
      <c r="M799" s="10">
        <f>IF(G799="Sim",VLOOKUP("EA Play",Parâmetros!$A$11:$B$13,2,0),0)*K799</f>
        <v>149.70000000000002</v>
      </c>
      <c r="N799" s="10">
        <f>IF(H799="Sim",VLOOKUP("Minecraft Pass",Parâmetros!$A$11:$B$13,2,0),0)*K799</f>
        <v>0</v>
      </c>
      <c r="O799" s="10">
        <f>IF(I799="Sim",VLOOKUP("Call of Duty Pass",Parâmetros!$A$11:$B$13,2,0),0)*K799</f>
        <v>0</v>
      </c>
      <c r="P799" s="10">
        <f>(L799*K799+M799+N799+O799)*IF(F799="Promoção",1-Parâmetros!$B$22,1)</f>
        <v>809.4</v>
      </c>
      <c r="Q799" s="10">
        <f>Parâmetros!$B$20*K799</f>
        <v>360</v>
      </c>
      <c r="R799" s="10">
        <f>P799-Q799</f>
        <v>449.4</v>
      </c>
    </row>
    <row r="800" spans="1:18">
      <c r="A800">
        <v>799</v>
      </c>
      <c r="B800" s="8">
        <v>45574</v>
      </c>
      <c r="C800" t="s">
        <v>6</v>
      </c>
      <c r="D800" t="s">
        <v>50</v>
      </c>
      <c r="E800" t="s">
        <v>47</v>
      </c>
      <c r="F800" t="s">
        <v>54</v>
      </c>
      <c r="G800" t="s">
        <v>44</v>
      </c>
      <c r="H800" t="s">
        <v>43</v>
      </c>
      <c r="I800" t="s">
        <v>44</v>
      </c>
      <c r="J800" t="s">
        <v>45</v>
      </c>
      <c r="K800" s="9">
        <v>32</v>
      </c>
      <c r="L800" s="10">
        <f>IFERROR(VLOOKUP(C800,Parâmetros!$A$5:$D$7,IF(D800="Mensal",2,IF(D800="Trimestral",3,4)),0),0)</f>
        <v>99</v>
      </c>
      <c r="M800" s="10">
        <f>IF(G800="Sim",VLOOKUP("EA Play",Parâmetros!$A$11:$B$13,2,0),0)*K800</f>
        <v>0</v>
      </c>
      <c r="N800" s="10">
        <f>IF(H800="Sim",VLOOKUP("Minecraft Pass",Parâmetros!$A$11:$B$13,2,0),0)*K800</f>
        <v>127.68</v>
      </c>
      <c r="O800" s="10">
        <f>IF(I800="Sim",VLOOKUP("Call of Duty Pass",Parâmetros!$A$11:$B$13,2,0),0)*K800</f>
        <v>0</v>
      </c>
      <c r="P800" s="10">
        <f>(L800*K800+M800+N800+O800)*IF(F800="Promoção",1-Parâmetros!$B$22,1)</f>
        <v>2966.1120000000001</v>
      </c>
      <c r="Q800" s="10">
        <f>Parâmetros!$B$20*K800</f>
        <v>384</v>
      </c>
      <c r="R800" s="10">
        <f>P800-Q800</f>
        <v>2582.1120000000001</v>
      </c>
    </row>
    <row r="801" spans="1:18">
      <c r="A801">
        <v>800</v>
      </c>
      <c r="B801" s="8">
        <v>45763</v>
      </c>
      <c r="C801" t="s">
        <v>7</v>
      </c>
      <c r="D801" t="s">
        <v>46</v>
      </c>
      <c r="E801" t="s">
        <v>41</v>
      </c>
      <c r="F801" t="s">
        <v>52</v>
      </c>
      <c r="G801" t="s">
        <v>44</v>
      </c>
      <c r="H801" t="s">
        <v>43</v>
      </c>
      <c r="I801" t="s">
        <v>44</v>
      </c>
      <c r="J801" t="s">
        <v>45</v>
      </c>
      <c r="K801" s="9">
        <v>26</v>
      </c>
      <c r="L801" s="10">
        <f>IFERROR(VLOOKUP(C801,Parâmetros!$A$5:$D$7,IF(D801="Mensal",2,IF(D801="Trimestral",3,4)),0),0)</f>
        <v>14.99</v>
      </c>
      <c r="M801" s="10">
        <f>IF(G801="Sim",VLOOKUP("EA Play",Parâmetros!$A$11:$B$13,2,0),0)*K801</f>
        <v>0</v>
      </c>
      <c r="N801" s="10">
        <f>IF(H801="Sim",VLOOKUP("Minecraft Pass",Parâmetros!$A$11:$B$13,2,0),0)*K801</f>
        <v>103.74000000000001</v>
      </c>
      <c r="O801" s="10">
        <f>IF(I801="Sim",VLOOKUP("Call of Duty Pass",Parâmetros!$A$11:$B$13,2,0),0)*K801</f>
        <v>0</v>
      </c>
      <c r="P801" s="10">
        <f>(L801*K801+M801+N801+O801)*IF(F801="Promoção",1-Parâmetros!$B$22,1)</f>
        <v>493.48</v>
      </c>
      <c r="Q801" s="10">
        <f>Parâmetros!$B$20*K801</f>
        <v>312</v>
      </c>
      <c r="R801" s="10">
        <f>P801-Q801</f>
        <v>181.48000000000002</v>
      </c>
    </row>
    <row r="802" spans="1:18">
      <c r="A802">
        <v>801</v>
      </c>
      <c r="B802" s="8">
        <v>45919</v>
      </c>
      <c r="C802" t="s">
        <v>8</v>
      </c>
      <c r="D802" t="s">
        <v>50</v>
      </c>
      <c r="E802" t="s">
        <v>41</v>
      </c>
      <c r="F802" t="s">
        <v>42</v>
      </c>
      <c r="G802" t="s">
        <v>44</v>
      </c>
      <c r="H802" t="s">
        <v>44</v>
      </c>
      <c r="I802" t="s">
        <v>44</v>
      </c>
      <c r="J802" t="s">
        <v>45</v>
      </c>
      <c r="K802" s="9">
        <v>7</v>
      </c>
      <c r="L802" s="10">
        <f>IFERROR(VLOOKUP(C802,Parâmetros!$A$5:$D$7,IF(D802="Mensal",2,IF(D802="Trimestral",3,4)),0),0)</f>
        <v>219</v>
      </c>
      <c r="M802" s="10">
        <f>IF(G802="Sim",VLOOKUP("EA Play",Parâmetros!$A$11:$B$13,2,0),0)*K802</f>
        <v>0</v>
      </c>
      <c r="N802" s="10">
        <f>IF(H802="Sim",VLOOKUP("Minecraft Pass",Parâmetros!$A$11:$B$13,2,0),0)*K802</f>
        <v>0</v>
      </c>
      <c r="O802" s="10">
        <f>IF(I802="Sim",VLOOKUP("Call of Duty Pass",Parâmetros!$A$11:$B$13,2,0),0)*K802</f>
        <v>0</v>
      </c>
      <c r="P802" s="10">
        <f>(L802*K802+M802+N802+O802)*IF(F802="Promoção",1-Parâmetros!$B$22,1)</f>
        <v>1533</v>
      </c>
      <c r="Q802" s="10">
        <f>Parâmetros!$B$20*K802</f>
        <v>84</v>
      </c>
      <c r="R802" s="10">
        <f>P802-Q802</f>
        <v>1449</v>
      </c>
    </row>
    <row r="803" spans="1:18">
      <c r="A803">
        <v>802</v>
      </c>
      <c r="B803" s="8">
        <v>45694</v>
      </c>
      <c r="C803" t="s">
        <v>7</v>
      </c>
      <c r="D803" t="s">
        <v>46</v>
      </c>
      <c r="E803" t="s">
        <v>55</v>
      </c>
      <c r="F803" t="s">
        <v>42</v>
      </c>
      <c r="G803" t="s">
        <v>44</v>
      </c>
      <c r="H803" t="s">
        <v>44</v>
      </c>
      <c r="I803" t="s">
        <v>44</v>
      </c>
      <c r="J803" t="s">
        <v>49</v>
      </c>
      <c r="K803" s="9">
        <v>14</v>
      </c>
      <c r="L803" s="10">
        <f>IFERROR(VLOOKUP(C803,Parâmetros!$A$5:$D$7,IF(D803="Mensal",2,IF(D803="Trimestral",3,4)),0),0)</f>
        <v>14.99</v>
      </c>
      <c r="M803" s="10">
        <f>IF(G803="Sim",VLOOKUP("EA Play",Parâmetros!$A$11:$B$13,2,0),0)*K803</f>
        <v>0</v>
      </c>
      <c r="N803" s="10">
        <f>IF(H803="Sim",VLOOKUP("Minecraft Pass",Parâmetros!$A$11:$B$13,2,0),0)*K803</f>
        <v>0</v>
      </c>
      <c r="O803" s="10">
        <f>IF(I803="Sim",VLOOKUP("Call of Duty Pass",Parâmetros!$A$11:$B$13,2,0),0)*K803</f>
        <v>0</v>
      </c>
      <c r="P803" s="10">
        <f>(L803*K803+M803+N803+O803)*IF(F803="Promoção",1-Parâmetros!$B$22,1)</f>
        <v>209.86</v>
      </c>
      <c r="Q803" s="10">
        <f>Parâmetros!$B$20*K803</f>
        <v>168</v>
      </c>
      <c r="R803" s="10">
        <f>P803-Q803</f>
        <v>41.860000000000014</v>
      </c>
    </row>
    <row r="804" spans="1:18">
      <c r="A804">
        <v>803</v>
      </c>
      <c r="B804" s="8">
        <v>45797</v>
      </c>
      <c r="C804" t="s">
        <v>7</v>
      </c>
      <c r="D804" t="s">
        <v>40</v>
      </c>
      <c r="E804" t="s">
        <v>41</v>
      </c>
      <c r="F804" t="s">
        <v>42</v>
      </c>
      <c r="G804" t="s">
        <v>44</v>
      </c>
      <c r="H804" t="s">
        <v>44</v>
      </c>
      <c r="I804" t="s">
        <v>44</v>
      </c>
      <c r="J804" t="s">
        <v>49</v>
      </c>
      <c r="K804" s="9">
        <v>11</v>
      </c>
      <c r="L804" s="10">
        <f>IFERROR(VLOOKUP(C804,Parâmetros!$A$5:$D$7,IF(D804="Mensal",2,IF(D804="Trimestral",3,4)),0),0)</f>
        <v>40</v>
      </c>
      <c r="M804" s="10">
        <f>IF(G804="Sim",VLOOKUP("EA Play",Parâmetros!$A$11:$B$13,2,0),0)*K804</f>
        <v>0</v>
      </c>
      <c r="N804" s="10">
        <f>IF(H804="Sim",VLOOKUP("Minecraft Pass",Parâmetros!$A$11:$B$13,2,0),0)*K804</f>
        <v>0</v>
      </c>
      <c r="O804" s="10">
        <f>IF(I804="Sim",VLOOKUP("Call of Duty Pass",Parâmetros!$A$11:$B$13,2,0),0)*K804</f>
        <v>0</v>
      </c>
      <c r="P804" s="10">
        <f>(L804*K804+M804+N804+O804)*IF(F804="Promoção",1-Parâmetros!$B$22,1)</f>
        <v>440</v>
      </c>
      <c r="Q804" s="10">
        <f>Parâmetros!$B$20*K804</f>
        <v>132</v>
      </c>
      <c r="R804" s="10">
        <f>P804-Q804</f>
        <v>308</v>
      </c>
    </row>
    <row r="805" spans="1:18">
      <c r="A805">
        <v>804</v>
      </c>
      <c r="B805" s="8">
        <v>45550</v>
      </c>
      <c r="C805" t="s">
        <v>6</v>
      </c>
      <c r="D805" t="s">
        <v>46</v>
      </c>
      <c r="E805" t="s">
        <v>41</v>
      </c>
      <c r="F805" t="s">
        <v>52</v>
      </c>
      <c r="G805" t="s">
        <v>44</v>
      </c>
      <c r="H805" t="s">
        <v>44</v>
      </c>
      <c r="I805" t="s">
        <v>44</v>
      </c>
      <c r="J805" t="s">
        <v>49</v>
      </c>
      <c r="K805" s="9">
        <v>13</v>
      </c>
      <c r="L805" s="10">
        <f>IFERROR(VLOOKUP(C805,Parâmetros!$A$5:$D$7,IF(D805="Mensal",2,IF(D805="Trimestral",3,4)),0),0)</f>
        <v>9.99</v>
      </c>
      <c r="M805" s="10">
        <f>IF(G805="Sim",VLOOKUP("EA Play",Parâmetros!$A$11:$B$13,2,0),0)*K805</f>
        <v>0</v>
      </c>
      <c r="N805" s="10">
        <f>IF(H805="Sim",VLOOKUP("Minecraft Pass",Parâmetros!$A$11:$B$13,2,0),0)*K805</f>
        <v>0</v>
      </c>
      <c r="O805" s="10">
        <f>IF(I805="Sim",VLOOKUP("Call of Duty Pass",Parâmetros!$A$11:$B$13,2,0),0)*K805</f>
        <v>0</v>
      </c>
      <c r="P805" s="10">
        <f>(L805*K805+M805+N805+O805)*IF(F805="Promoção",1-Parâmetros!$B$22,1)</f>
        <v>129.87</v>
      </c>
      <c r="Q805" s="10">
        <f>Parâmetros!$B$20*K805</f>
        <v>156</v>
      </c>
      <c r="R805" s="10">
        <f>P805-Q805</f>
        <v>-26.129999999999995</v>
      </c>
    </row>
    <row r="806" spans="1:18">
      <c r="A806">
        <v>805</v>
      </c>
      <c r="B806" s="8">
        <v>45698</v>
      </c>
      <c r="C806" t="s">
        <v>6</v>
      </c>
      <c r="D806" t="s">
        <v>46</v>
      </c>
      <c r="E806" t="s">
        <v>51</v>
      </c>
      <c r="F806" t="s">
        <v>42</v>
      </c>
      <c r="G806" t="s">
        <v>44</v>
      </c>
      <c r="H806" t="s">
        <v>44</v>
      </c>
      <c r="I806" t="s">
        <v>44</v>
      </c>
      <c r="J806" t="s">
        <v>49</v>
      </c>
      <c r="K806" s="9">
        <v>16</v>
      </c>
      <c r="L806" s="10">
        <f>IFERROR(VLOOKUP(C806,Parâmetros!$A$5:$D$7,IF(D806="Mensal",2,IF(D806="Trimestral",3,4)),0),0)</f>
        <v>9.99</v>
      </c>
      <c r="M806" s="10">
        <f>IF(G806="Sim",VLOOKUP("EA Play",Parâmetros!$A$11:$B$13,2,0),0)*K806</f>
        <v>0</v>
      </c>
      <c r="N806" s="10">
        <f>IF(H806="Sim",VLOOKUP("Minecraft Pass",Parâmetros!$A$11:$B$13,2,0),0)*K806</f>
        <v>0</v>
      </c>
      <c r="O806" s="10">
        <f>IF(I806="Sim",VLOOKUP("Call of Duty Pass",Parâmetros!$A$11:$B$13,2,0),0)*K806</f>
        <v>0</v>
      </c>
      <c r="P806" s="10">
        <f>(L806*K806+M806+N806+O806)*IF(F806="Promoção",1-Parâmetros!$B$22,1)</f>
        <v>159.84</v>
      </c>
      <c r="Q806" s="10">
        <f>Parâmetros!$B$20*K806</f>
        <v>192</v>
      </c>
      <c r="R806" s="10">
        <f>P806-Q806</f>
        <v>-32.159999999999997</v>
      </c>
    </row>
    <row r="807" spans="1:18">
      <c r="A807">
        <v>806</v>
      </c>
      <c r="B807" s="8">
        <v>46022</v>
      </c>
      <c r="C807" t="s">
        <v>8</v>
      </c>
      <c r="D807" t="s">
        <v>46</v>
      </c>
      <c r="E807" t="s">
        <v>51</v>
      </c>
      <c r="F807" t="s">
        <v>54</v>
      </c>
      <c r="G807" t="s">
        <v>43</v>
      </c>
      <c r="H807" t="s">
        <v>43</v>
      </c>
      <c r="I807" t="s">
        <v>43</v>
      </c>
      <c r="J807" t="s">
        <v>49</v>
      </c>
      <c r="K807" s="9">
        <v>35</v>
      </c>
      <c r="L807" s="10">
        <f>IFERROR(VLOOKUP(C807,Parâmetros!$A$5:$D$7,IF(D807="Mensal",2,IF(D807="Trimestral",3,4)),0),0)</f>
        <v>21.99</v>
      </c>
      <c r="M807" s="10">
        <f>IF(G807="Sim",VLOOKUP("EA Play",Parâmetros!$A$11:$B$13,2,0),0)*K807</f>
        <v>174.65</v>
      </c>
      <c r="N807" s="10">
        <f>IF(H807="Sim",VLOOKUP("Minecraft Pass",Parâmetros!$A$11:$B$13,2,0),0)*K807</f>
        <v>139.65</v>
      </c>
      <c r="O807" s="10">
        <f>IF(I807="Sim",VLOOKUP("Call of Duty Pass",Parâmetros!$A$11:$B$13,2,0),0)*K807</f>
        <v>244.65</v>
      </c>
      <c r="P807" s="10">
        <f>(L807*K807+M807+N807+O807)*IF(F807="Promoção",1-Parâmetros!$B$22,1)</f>
        <v>1195.7400000000002</v>
      </c>
      <c r="Q807" s="10">
        <f>Parâmetros!$B$20*K807</f>
        <v>420</v>
      </c>
      <c r="R807" s="10">
        <f>P807-Q807</f>
        <v>775.74000000000024</v>
      </c>
    </row>
    <row r="808" spans="1:18">
      <c r="A808">
        <v>807</v>
      </c>
      <c r="B808" s="8">
        <v>45692</v>
      </c>
      <c r="C808" t="s">
        <v>6</v>
      </c>
      <c r="D808" t="s">
        <v>40</v>
      </c>
      <c r="E808" t="s">
        <v>41</v>
      </c>
      <c r="F808" t="s">
        <v>42</v>
      </c>
      <c r="G808" t="s">
        <v>43</v>
      </c>
      <c r="H808" t="s">
        <v>43</v>
      </c>
      <c r="I808" t="s">
        <v>44</v>
      </c>
      <c r="J808" t="s">
        <v>45</v>
      </c>
      <c r="K808" s="9">
        <v>35</v>
      </c>
      <c r="L808" s="10">
        <f>IFERROR(VLOOKUP(C808,Parâmetros!$A$5:$D$7,IF(D808="Mensal",2,IF(D808="Trimestral",3,4)),0),0)</f>
        <v>27</v>
      </c>
      <c r="M808" s="10">
        <f>IF(G808="Sim",VLOOKUP("EA Play",Parâmetros!$A$11:$B$13,2,0),0)*K808</f>
        <v>174.65</v>
      </c>
      <c r="N808" s="10">
        <f>IF(H808="Sim",VLOOKUP("Minecraft Pass",Parâmetros!$A$11:$B$13,2,0),0)*K808</f>
        <v>139.65</v>
      </c>
      <c r="O808" s="10">
        <f>IF(I808="Sim",VLOOKUP("Call of Duty Pass",Parâmetros!$A$11:$B$13,2,0),0)*K808</f>
        <v>0</v>
      </c>
      <c r="P808" s="10">
        <f>(L808*K808+M808+N808+O808)*IF(F808="Promoção",1-Parâmetros!$B$22,1)</f>
        <v>1259.3000000000002</v>
      </c>
      <c r="Q808" s="10">
        <f>Parâmetros!$B$20*K808</f>
        <v>420</v>
      </c>
      <c r="R808" s="10">
        <f>P808-Q808</f>
        <v>839.30000000000018</v>
      </c>
    </row>
    <row r="809" spans="1:18">
      <c r="A809">
        <v>808</v>
      </c>
      <c r="B809" s="8">
        <v>45513</v>
      </c>
      <c r="C809" t="s">
        <v>7</v>
      </c>
      <c r="D809" t="s">
        <v>46</v>
      </c>
      <c r="E809" t="s">
        <v>47</v>
      </c>
      <c r="F809" t="s">
        <v>48</v>
      </c>
      <c r="G809" t="s">
        <v>44</v>
      </c>
      <c r="H809" t="s">
        <v>44</v>
      </c>
      <c r="I809" t="s">
        <v>43</v>
      </c>
      <c r="J809" t="s">
        <v>45</v>
      </c>
      <c r="K809" s="9">
        <v>29</v>
      </c>
      <c r="L809" s="10">
        <f>IFERROR(VLOOKUP(C809,Parâmetros!$A$5:$D$7,IF(D809="Mensal",2,IF(D809="Trimestral",3,4)),0),0)</f>
        <v>14.99</v>
      </c>
      <c r="M809" s="10">
        <f>IF(G809="Sim",VLOOKUP("EA Play",Parâmetros!$A$11:$B$13,2,0),0)*K809</f>
        <v>0</v>
      </c>
      <c r="N809" s="10">
        <f>IF(H809="Sim",VLOOKUP("Minecraft Pass",Parâmetros!$A$11:$B$13,2,0),0)*K809</f>
        <v>0</v>
      </c>
      <c r="O809" s="10">
        <f>IF(I809="Sim",VLOOKUP("Call of Duty Pass",Parâmetros!$A$11:$B$13,2,0),0)*K809</f>
        <v>202.71</v>
      </c>
      <c r="P809" s="10">
        <f>(L809*K809+M809+N809+O809)*IF(F809="Promoção",1-Parâmetros!$B$22,1)</f>
        <v>637.41999999999996</v>
      </c>
      <c r="Q809" s="10">
        <f>Parâmetros!$B$20*K809</f>
        <v>348</v>
      </c>
      <c r="R809" s="10">
        <f>P809-Q809</f>
        <v>289.41999999999996</v>
      </c>
    </row>
    <row r="810" spans="1:18">
      <c r="A810">
        <v>809</v>
      </c>
      <c r="B810" s="8">
        <v>45345</v>
      </c>
      <c r="C810" t="s">
        <v>7</v>
      </c>
      <c r="D810" t="s">
        <v>46</v>
      </c>
      <c r="E810" t="s">
        <v>41</v>
      </c>
      <c r="F810" t="s">
        <v>42</v>
      </c>
      <c r="G810" t="s">
        <v>43</v>
      </c>
      <c r="H810" t="s">
        <v>44</v>
      </c>
      <c r="I810" t="s">
        <v>43</v>
      </c>
      <c r="J810" t="s">
        <v>49</v>
      </c>
      <c r="K810" s="9">
        <v>2</v>
      </c>
      <c r="L810" s="10">
        <f>IFERROR(VLOOKUP(C810,Parâmetros!$A$5:$D$7,IF(D810="Mensal",2,IF(D810="Trimestral",3,4)),0),0)</f>
        <v>14.99</v>
      </c>
      <c r="M810" s="10">
        <f>IF(G810="Sim",VLOOKUP("EA Play",Parâmetros!$A$11:$B$13,2,0),0)*K810</f>
        <v>9.98</v>
      </c>
      <c r="N810" s="10">
        <f>IF(H810="Sim",VLOOKUP("Minecraft Pass",Parâmetros!$A$11:$B$13,2,0),0)*K810</f>
        <v>0</v>
      </c>
      <c r="O810" s="10">
        <f>IF(I810="Sim",VLOOKUP("Call of Duty Pass",Parâmetros!$A$11:$B$13,2,0),0)*K810</f>
        <v>13.98</v>
      </c>
      <c r="P810" s="10">
        <f>(L810*K810+M810+N810+O810)*IF(F810="Promoção",1-Parâmetros!$B$22,1)</f>
        <v>53.94</v>
      </c>
      <c r="Q810" s="10">
        <f>Parâmetros!$B$20*K810</f>
        <v>24</v>
      </c>
      <c r="R810" s="10">
        <f>P810-Q810</f>
        <v>29.939999999999998</v>
      </c>
    </row>
    <row r="811" spans="1:18">
      <c r="A811">
        <v>810</v>
      </c>
      <c r="B811" s="8">
        <v>45306</v>
      </c>
      <c r="C811" t="s">
        <v>6</v>
      </c>
      <c r="D811" t="s">
        <v>46</v>
      </c>
      <c r="E811" t="s">
        <v>51</v>
      </c>
      <c r="F811" t="s">
        <v>42</v>
      </c>
      <c r="G811" t="s">
        <v>44</v>
      </c>
      <c r="H811" t="s">
        <v>44</v>
      </c>
      <c r="I811" t="s">
        <v>44</v>
      </c>
      <c r="J811" t="s">
        <v>49</v>
      </c>
      <c r="K811" s="9">
        <v>11</v>
      </c>
      <c r="L811" s="10">
        <f>IFERROR(VLOOKUP(C811,Parâmetros!$A$5:$D$7,IF(D811="Mensal",2,IF(D811="Trimestral",3,4)),0),0)</f>
        <v>9.99</v>
      </c>
      <c r="M811" s="10">
        <f>IF(G811="Sim",VLOOKUP("EA Play",Parâmetros!$A$11:$B$13,2,0),0)*K811</f>
        <v>0</v>
      </c>
      <c r="N811" s="10">
        <f>IF(H811="Sim",VLOOKUP("Minecraft Pass",Parâmetros!$A$11:$B$13,2,0),0)*K811</f>
        <v>0</v>
      </c>
      <c r="O811" s="10">
        <f>IF(I811="Sim",VLOOKUP("Call of Duty Pass",Parâmetros!$A$11:$B$13,2,0),0)*K811</f>
        <v>0</v>
      </c>
      <c r="P811" s="10">
        <f>(L811*K811+M811+N811+O811)*IF(F811="Promoção",1-Parâmetros!$B$22,1)</f>
        <v>109.89</v>
      </c>
      <c r="Q811" s="10">
        <f>Parâmetros!$B$20*K811</f>
        <v>132</v>
      </c>
      <c r="R811" s="10">
        <f>P811-Q811</f>
        <v>-22.11</v>
      </c>
    </row>
    <row r="812" spans="1:18">
      <c r="A812">
        <v>811</v>
      </c>
      <c r="B812" s="8">
        <v>45337</v>
      </c>
      <c r="C812" t="s">
        <v>7</v>
      </c>
      <c r="D812" t="s">
        <v>46</v>
      </c>
      <c r="E812" t="s">
        <v>41</v>
      </c>
      <c r="F812" t="s">
        <v>48</v>
      </c>
      <c r="G812" t="s">
        <v>43</v>
      </c>
      <c r="H812" t="s">
        <v>43</v>
      </c>
      <c r="I812" t="s">
        <v>44</v>
      </c>
      <c r="J812" t="s">
        <v>45</v>
      </c>
      <c r="K812" s="9">
        <v>8</v>
      </c>
      <c r="L812" s="10">
        <f>IFERROR(VLOOKUP(C812,Parâmetros!$A$5:$D$7,IF(D812="Mensal",2,IF(D812="Trimestral",3,4)),0),0)</f>
        <v>14.99</v>
      </c>
      <c r="M812" s="10">
        <f>IF(G812="Sim",VLOOKUP("EA Play",Parâmetros!$A$11:$B$13,2,0),0)*K812</f>
        <v>39.92</v>
      </c>
      <c r="N812" s="10">
        <f>IF(H812="Sim",VLOOKUP("Minecraft Pass",Parâmetros!$A$11:$B$13,2,0),0)*K812</f>
        <v>31.92</v>
      </c>
      <c r="O812" s="10">
        <f>IF(I812="Sim",VLOOKUP("Call of Duty Pass",Parâmetros!$A$11:$B$13,2,0),0)*K812</f>
        <v>0</v>
      </c>
      <c r="P812" s="10">
        <f>(L812*K812+M812+N812+O812)*IF(F812="Promoção",1-Parâmetros!$B$22,1)</f>
        <v>191.76</v>
      </c>
      <c r="Q812" s="10">
        <f>Parâmetros!$B$20*K812</f>
        <v>96</v>
      </c>
      <c r="R812" s="10">
        <f>P812-Q812</f>
        <v>95.759999999999991</v>
      </c>
    </row>
    <row r="813" spans="1:18">
      <c r="A813">
        <v>812</v>
      </c>
      <c r="B813" s="8">
        <v>45529</v>
      </c>
      <c r="C813" t="s">
        <v>6</v>
      </c>
      <c r="D813" t="s">
        <v>46</v>
      </c>
      <c r="E813" t="s">
        <v>41</v>
      </c>
      <c r="F813" t="s">
        <v>48</v>
      </c>
      <c r="G813" t="s">
        <v>43</v>
      </c>
      <c r="H813" t="s">
        <v>43</v>
      </c>
      <c r="I813" t="s">
        <v>44</v>
      </c>
      <c r="J813" t="s">
        <v>49</v>
      </c>
      <c r="K813" s="9">
        <v>18</v>
      </c>
      <c r="L813" s="10">
        <f>IFERROR(VLOOKUP(C813,Parâmetros!$A$5:$D$7,IF(D813="Mensal",2,IF(D813="Trimestral",3,4)),0),0)</f>
        <v>9.99</v>
      </c>
      <c r="M813" s="10">
        <f>IF(G813="Sim",VLOOKUP("EA Play",Parâmetros!$A$11:$B$13,2,0),0)*K813</f>
        <v>89.820000000000007</v>
      </c>
      <c r="N813" s="10">
        <f>IF(H813="Sim",VLOOKUP("Minecraft Pass",Parâmetros!$A$11:$B$13,2,0),0)*K813</f>
        <v>71.820000000000007</v>
      </c>
      <c r="O813" s="10">
        <f>IF(I813="Sim",VLOOKUP("Call of Duty Pass",Parâmetros!$A$11:$B$13,2,0),0)*K813</f>
        <v>0</v>
      </c>
      <c r="P813" s="10">
        <f>(L813*K813+M813+N813+O813)*IF(F813="Promoção",1-Parâmetros!$B$22,1)</f>
        <v>341.46</v>
      </c>
      <c r="Q813" s="10">
        <f>Parâmetros!$B$20*K813</f>
        <v>216</v>
      </c>
      <c r="R813" s="10">
        <f>P813-Q813</f>
        <v>125.45999999999998</v>
      </c>
    </row>
    <row r="814" spans="1:18">
      <c r="A814">
        <v>813</v>
      </c>
      <c r="B814" s="8">
        <v>45957</v>
      </c>
      <c r="C814" t="s">
        <v>7</v>
      </c>
      <c r="D814" t="s">
        <v>46</v>
      </c>
      <c r="E814" t="s">
        <v>55</v>
      </c>
      <c r="F814" t="s">
        <v>48</v>
      </c>
      <c r="G814" t="s">
        <v>44</v>
      </c>
      <c r="H814" t="s">
        <v>44</v>
      </c>
      <c r="I814" t="s">
        <v>44</v>
      </c>
      <c r="J814" t="s">
        <v>45</v>
      </c>
      <c r="K814" s="9">
        <v>11</v>
      </c>
      <c r="L814" s="10">
        <f>IFERROR(VLOOKUP(C814,Parâmetros!$A$5:$D$7,IF(D814="Mensal",2,IF(D814="Trimestral",3,4)),0),0)</f>
        <v>14.99</v>
      </c>
      <c r="M814" s="10">
        <f>IF(G814="Sim",VLOOKUP("EA Play",Parâmetros!$A$11:$B$13,2,0),0)*K814</f>
        <v>0</v>
      </c>
      <c r="N814" s="10">
        <f>IF(H814="Sim",VLOOKUP("Minecraft Pass",Parâmetros!$A$11:$B$13,2,0),0)*K814</f>
        <v>0</v>
      </c>
      <c r="O814" s="10">
        <f>IF(I814="Sim",VLOOKUP("Call of Duty Pass",Parâmetros!$A$11:$B$13,2,0),0)*K814</f>
        <v>0</v>
      </c>
      <c r="P814" s="10">
        <f>(L814*K814+M814+N814+O814)*IF(F814="Promoção",1-Parâmetros!$B$22,1)</f>
        <v>164.89000000000001</v>
      </c>
      <c r="Q814" s="10">
        <f>Parâmetros!$B$20*K814</f>
        <v>132</v>
      </c>
      <c r="R814" s="10">
        <f>P814-Q814</f>
        <v>32.890000000000015</v>
      </c>
    </row>
    <row r="815" spans="1:18">
      <c r="A815">
        <v>814</v>
      </c>
      <c r="B815" s="8">
        <v>45549</v>
      </c>
      <c r="C815" t="s">
        <v>8</v>
      </c>
      <c r="D815" t="s">
        <v>40</v>
      </c>
      <c r="E815" t="s">
        <v>53</v>
      </c>
      <c r="F815" t="s">
        <v>52</v>
      </c>
      <c r="G815" t="s">
        <v>44</v>
      </c>
      <c r="H815" t="s">
        <v>44</v>
      </c>
      <c r="I815" t="s">
        <v>44</v>
      </c>
      <c r="J815" t="s">
        <v>49</v>
      </c>
      <c r="K815" s="9">
        <v>21</v>
      </c>
      <c r="L815" s="10">
        <f>IFERROR(VLOOKUP(C815,Parâmetros!$A$5:$D$7,IF(D815="Mensal",2,IF(D815="Trimestral",3,4)),0),0)</f>
        <v>59</v>
      </c>
      <c r="M815" s="10">
        <f>IF(G815="Sim",VLOOKUP("EA Play",Parâmetros!$A$11:$B$13,2,0),0)*K815</f>
        <v>0</v>
      </c>
      <c r="N815" s="10">
        <f>IF(H815="Sim",VLOOKUP("Minecraft Pass",Parâmetros!$A$11:$B$13,2,0),0)*K815</f>
        <v>0</v>
      </c>
      <c r="O815" s="10">
        <f>IF(I815="Sim",VLOOKUP("Call of Duty Pass",Parâmetros!$A$11:$B$13,2,0),0)*K815</f>
        <v>0</v>
      </c>
      <c r="P815" s="10">
        <f>(L815*K815+M815+N815+O815)*IF(F815="Promoção",1-Parâmetros!$B$22,1)</f>
        <v>1239</v>
      </c>
      <c r="Q815" s="10">
        <f>Parâmetros!$B$20*K815</f>
        <v>252</v>
      </c>
      <c r="R815" s="10">
        <f>P815-Q815</f>
        <v>987</v>
      </c>
    </row>
    <row r="816" spans="1:18">
      <c r="A816">
        <v>815</v>
      </c>
      <c r="B816" s="8">
        <v>45974</v>
      </c>
      <c r="C816" t="s">
        <v>7</v>
      </c>
      <c r="D816" t="s">
        <v>46</v>
      </c>
      <c r="E816" t="s">
        <v>47</v>
      </c>
      <c r="F816" t="s">
        <v>48</v>
      </c>
      <c r="G816" t="s">
        <v>43</v>
      </c>
      <c r="H816" t="s">
        <v>44</v>
      </c>
      <c r="I816" t="s">
        <v>43</v>
      </c>
      <c r="J816" t="s">
        <v>45</v>
      </c>
      <c r="K816" s="9">
        <v>1</v>
      </c>
      <c r="L816" s="10">
        <f>IFERROR(VLOOKUP(C816,Parâmetros!$A$5:$D$7,IF(D816="Mensal",2,IF(D816="Trimestral",3,4)),0),0)</f>
        <v>14.99</v>
      </c>
      <c r="M816" s="10">
        <f>IF(G816="Sim",VLOOKUP("EA Play",Parâmetros!$A$11:$B$13,2,0),0)*K816</f>
        <v>4.99</v>
      </c>
      <c r="N816" s="10">
        <f>IF(H816="Sim",VLOOKUP("Minecraft Pass",Parâmetros!$A$11:$B$13,2,0),0)*K816</f>
        <v>0</v>
      </c>
      <c r="O816" s="10">
        <f>IF(I816="Sim",VLOOKUP("Call of Duty Pass",Parâmetros!$A$11:$B$13,2,0),0)*K816</f>
        <v>6.99</v>
      </c>
      <c r="P816" s="10">
        <f>(L816*K816+M816+N816+O816)*IF(F816="Promoção",1-Parâmetros!$B$22,1)</f>
        <v>26.97</v>
      </c>
      <c r="Q816" s="10">
        <f>Parâmetros!$B$20*K816</f>
        <v>12</v>
      </c>
      <c r="R816" s="10">
        <f>P816-Q816</f>
        <v>14.969999999999999</v>
      </c>
    </row>
    <row r="817" spans="1:18">
      <c r="A817">
        <v>816</v>
      </c>
      <c r="B817" s="8">
        <v>45530</v>
      </c>
      <c r="C817" t="s">
        <v>6</v>
      </c>
      <c r="D817" t="s">
        <v>40</v>
      </c>
      <c r="E817" t="s">
        <v>41</v>
      </c>
      <c r="F817" t="s">
        <v>42</v>
      </c>
      <c r="G817" t="s">
        <v>43</v>
      </c>
      <c r="H817" t="s">
        <v>43</v>
      </c>
      <c r="I817" t="s">
        <v>43</v>
      </c>
      <c r="J817" t="s">
        <v>49</v>
      </c>
      <c r="K817" s="9">
        <v>32</v>
      </c>
      <c r="L817" s="10">
        <f>IFERROR(VLOOKUP(C817,Parâmetros!$A$5:$D$7,IF(D817="Mensal",2,IF(D817="Trimestral",3,4)),0),0)</f>
        <v>27</v>
      </c>
      <c r="M817" s="10">
        <f>IF(G817="Sim",VLOOKUP("EA Play",Parâmetros!$A$11:$B$13,2,0),0)*K817</f>
        <v>159.68</v>
      </c>
      <c r="N817" s="10">
        <f>IF(H817="Sim",VLOOKUP("Minecraft Pass",Parâmetros!$A$11:$B$13,2,0),0)*K817</f>
        <v>127.68</v>
      </c>
      <c r="O817" s="10">
        <f>IF(I817="Sim",VLOOKUP("Call of Duty Pass",Parâmetros!$A$11:$B$13,2,0),0)*K817</f>
        <v>223.68</v>
      </c>
      <c r="P817" s="10">
        <f>(L817*K817+M817+N817+O817)*IF(F817="Promoção",1-Parâmetros!$B$22,1)</f>
        <v>1375.0400000000002</v>
      </c>
      <c r="Q817" s="10">
        <f>Parâmetros!$B$20*K817</f>
        <v>384</v>
      </c>
      <c r="R817" s="10">
        <f>P817-Q817</f>
        <v>991.04000000000019</v>
      </c>
    </row>
    <row r="818" spans="1:18">
      <c r="A818">
        <v>817</v>
      </c>
      <c r="B818" s="8">
        <v>45595</v>
      </c>
      <c r="C818" t="s">
        <v>6</v>
      </c>
      <c r="D818" t="s">
        <v>46</v>
      </c>
      <c r="E818" t="s">
        <v>51</v>
      </c>
      <c r="F818" t="s">
        <v>42</v>
      </c>
      <c r="G818" t="s">
        <v>44</v>
      </c>
      <c r="H818" t="s">
        <v>44</v>
      </c>
      <c r="I818" t="s">
        <v>44</v>
      </c>
      <c r="J818" t="s">
        <v>45</v>
      </c>
      <c r="K818" s="9">
        <v>9</v>
      </c>
      <c r="L818" s="10">
        <f>IFERROR(VLOOKUP(C818,Parâmetros!$A$5:$D$7,IF(D818="Mensal",2,IF(D818="Trimestral",3,4)),0),0)</f>
        <v>9.99</v>
      </c>
      <c r="M818" s="10">
        <f>IF(G818="Sim",VLOOKUP("EA Play",Parâmetros!$A$11:$B$13,2,0),0)*K818</f>
        <v>0</v>
      </c>
      <c r="N818" s="10">
        <f>IF(H818="Sim",VLOOKUP("Minecraft Pass",Parâmetros!$A$11:$B$13,2,0),0)*K818</f>
        <v>0</v>
      </c>
      <c r="O818" s="10">
        <f>IF(I818="Sim",VLOOKUP("Call of Duty Pass",Parâmetros!$A$11:$B$13,2,0),0)*K818</f>
        <v>0</v>
      </c>
      <c r="P818" s="10">
        <f>(L818*K818+M818+N818+O818)*IF(F818="Promoção",1-Parâmetros!$B$22,1)</f>
        <v>89.91</v>
      </c>
      <c r="Q818" s="10">
        <f>Parâmetros!$B$20*K818</f>
        <v>108</v>
      </c>
      <c r="R818" s="10">
        <f>P818-Q818</f>
        <v>-18.090000000000003</v>
      </c>
    </row>
    <row r="819" spans="1:18">
      <c r="A819">
        <v>818</v>
      </c>
      <c r="B819" s="8">
        <v>45576</v>
      </c>
      <c r="C819" t="s">
        <v>6</v>
      </c>
      <c r="D819" t="s">
        <v>40</v>
      </c>
      <c r="E819" t="s">
        <v>41</v>
      </c>
      <c r="F819" t="s">
        <v>52</v>
      </c>
      <c r="G819" t="s">
        <v>43</v>
      </c>
      <c r="H819" t="s">
        <v>44</v>
      </c>
      <c r="I819" t="s">
        <v>44</v>
      </c>
      <c r="J819" t="s">
        <v>49</v>
      </c>
      <c r="K819" s="9">
        <v>22</v>
      </c>
      <c r="L819" s="10">
        <f>IFERROR(VLOOKUP(C819,Parâmetros!$A$5:$D$7,IF(D819="Mensal",2,IF(D819="Trimestral",3,4)),0),0)</f>
        <v>27</v>
      </c>
      <c r="M819" s="10">
        <f>IF(G819="Sim",VLOOKUP("EA Play",Parâmetros!$A$11:$B$13,2,0),0)*K819</f>
        <v>109.78</v>
      </c>
      <c r="N819" s="10">
        <f>IF(H819="Sim",VLOOKUP("Minecraft Pass",Parâmetros!$A$11:$B$13,2,0),0)*K819</f>
        <v>0</v>
      </c>
      <c r="O819" s="10">
        <f>IF(I819="Sim",VLOOKUP("Call of Duty Pass",Parâmetros!$A$11:$B$13,2,0),0)*K819</f>
        <v>0</v>
      </c>
      <c r="P819" s="10">
        <f>(L819*K819+M819+N819+O819)*IF(F819="Promoção",1-Parâmetros!$B$22,1)</f>
        <v>703.78</v>
      </c>
      <c r="Q819" s="10">
        <f>Parâmetros!$B$20*K819</f>
        <v>264</v>
      </c>
      <c r="R819" s="10">
        <f>P819-Q819</f>
        <v>439.78</v>
      </c>
    </row>
    <row r="820" spans="1:18">
      <c r="A820">
        <v>819</v>
      </c>
      <c r="B820" s="8">
        <v>45642</v>
      </c>
      <c r="C820" t="s">
        <v>6</v>
      </c>
      <c r="D820" t="s">
        <v>40</v>
      </c>
      <c r="E820" t="s">
        <v>55</v>
      </c>
      <c r="F820" t="s">
        <v>52</v>
      </c>
      <c r="G820" t="s">
        <v>43</v>
      </c>
      <c r="H820" t="s">
        <v>44</v>
      </c>
      <c r="I820" t="s">
        <v>44</v>
      </c>
      <c r="J820" t="s">
        <v>45</v>
      </c>
      <c r="K820" s="9">
        <v>25</v>
      </c>
      <c r="L820" s="10">
        <f>IFERROR(VLOOKUP(C820,Parâmetros!$A$5:$D$7,IF(D820="Mensal",2,IF(D820="Trimestral",3,4)),0),0)</f>
        <v>27</v>
      </c>
      <c r="M820" s="10">
        <f>IF(G820="Sim",VLOOKUP("EA Play",Parâmetros!$A$11:$B$13,2,0),0)*K820</f>
        <v>124.75</v>
      </c>
      <c r="N820" s="10">
        <f>IF(H820="Sim",VLOOKUP("Minecraft Pass",Parâmetros!$A$11:$B$13,2,0),0)*K820</f>
        <v>0</v>
      </c>
      <c r="O820" s="10">
        <f>IF(I820="Sim",VLOOKUP("Call of Duty Pass",Parâmetros!$A$11:$B$13,2,0),0)*K820</f>
        <v>0</v>
      </c>
      <c r="P820" s="10">
        <f>(L820*K820+M820+N820+O820)*IF(F820="Promoção",1-Parâmetros!$B$22,1)</f>
        <v>799.75</v>
      </c>
      <c r="Q820" s="10">
        <f>Parâmetros!$B$20*K820</f>
        <v>300</v>
      </c>
      <c r="R820" s="10">
        <f>P820-Q820</f>
        <v>499.75</v>
      </c>
    </row>
    <row r="821" spans="1:18">
      <c r="A821">
        <v>820</v>
      </c>
      <c r="B821" s="8">
        <v>45825</v>
      </c>
      <c r="C821" t="s">
        <v>6</v>
      </c>
      <c r="D821" t="s">
        <v>46</v>
      </c>
      <c r="E821" t="s">
        <v>41</v>
      </c>
      <c r="F821" t="s">
        <v>54</v>
      </c>
      <c r="G821" t="s">
        <v>43</v>
      </c>
      <c r="H821" t="s">
        <v>43</v>
      </c>
      <c r="I821" t="s">
        <v>44</v>
      </c>
      <c r="J821" t="s">
        <v>49</v>
      </c>
      <c r="K821" s="9">
        <v>14</v>
      </c>
      <c r="L821" s="10">
        <f>IFERROR(VLOOKUP(C821,Parâmetros!$A$5:$D$7,IF(D821="Mensal",2,IF(D821="Trimestral",3,4)),0),0)</f>
        <v>9.99</v>
      </c>
      <c r="M821" s="10">
        <f>IF(G821="Sim",VLOOKUP("EA Play",Parâmetros!$A$11:$B$13,2,0),0)*K821</f>
        <v>69.86</v>
      </c>
      <c r="N821" s="10">
        <f>IF(H821="Sim",VLOOKUP("Minecraft Pass",Parâmetros!$A$11:$B$13,2,0),0)*K821</f>
        <v>55.86</v>
      </c>
      <c r="O821" s="10">
        <f>IF(I821="Sim",VLOOKUP("Call of Duty Pass",Parâmetros!$A$11:$B$13,2,0),0)*K821</f>
        <v>0</v>
      </c>
      <c r="P821" s="10">
        <f>(L821*K821+M821+N821+O821)*IF(F821="Promoção",1-Parâmetros!$B$22,1)</f>
        <v>239.02200000000005</v>
      </c>
      <c r="Q821" s="10">
        <f>Parâmetros!$B$20*K821</f>
        <v>168</v>
      </c>
      <c r="R821" s="10">
        <f>P821-Q821</f>
        <v>71.022000000000048</v>
      </c>
    </row>
    <row r="822" spans="1:18">
      <c r="A822">
        <v>821</v>
      </c>
      <c r="B822" s="8">
        <v>45420</v>
      </c>
      <c r="C822" t="s">
        <v>6</v>
      </c>
      <c r="D822" t="s">
        <v>40</v>
      </c>
      <c r="E822" t="s">
        <v>51</v>
      </c>
      <c r="F822" t="s">
        <v>54</v>
      </c>
      <c r="G822" t="s">
        <v>43</v>
      </c>
      <c r="H822" t="s">
        <v>43</v>
      </c>
      <c r="I822" t="s">
        <v>44</v>
      </c>
      <c r="J822" t="s">
        <v>49</v>
      </c>
      <c r="K822" s="9">
        <v>13</v>
      </c>
      <c r="L822" s="10">
        <f>IFERROR(VLOOKUP(C822,Parâmetros!$A$5:$D$7,IF(D822="Mensal",2,IF(D822="Trimestral",3,4)),0),0)</f>
        <v>27</v>
      </c>
      <c r="M822" s="10">
        <f>IF(G822="Sim",VLOOKUP("EA Play",Parâmetros!$A$11:$B$13,2,0),0)*K822</f>
        <v>64.87</v>
      </c>
      <c r="N822" s="10">
        <f>IF(H822="Sim",VLOOKUP("Minecraft Pass",Parâmetros!$A$11:$B$13,2,0),0)*K822</f>
        <v>51.870000000000005</v>
      </c>
      <c r="O822" s="10">
        <f>IF(I822="Sim",VLOOKUP("Call of Duty Pass",Parâmetros!$A$11:$B$13,2,0),0)*K822</f>
        <v>0</v>
      </c>
      <c r="P822" s="10">
        <f>(L822*K822+M822+N822+O822)*IF(F822="Promoção",1-Parâmetros!$B$22,1)</f>
        <v>420.96600000000001</v>
      </c>
      <c r="Q822" s="10">
        <f>Parâmetros!$B$20*K822</f>
        <v>156</v>
      </c>
      <c r="R822" s="10">
        <f>P822-Q822</f>
        <v>264.96600000000001</v>
      </c>
    </row>
    <row r="823" spans="1:18">
      <c r="A823">
        <v>822</v>
      </c>
      <c r="B823" s="8">
        <v>45542</v>
      </c>
      <c r="C823" t="s">
        <v>7</v>
      </c>
      <c r="D823" t="s">
        <v>40</v>
      </c>
      <c r="E823" t="s">
        <v>41</v>
      </c>
      <c r="F823" t="s">
        <v>48</v>
      </c>
      <c r="G823" t="s">
        <v>44</v>
      </c>
      <c r="H823" t="s">
        <v>43</v>
      </c>
      <c r="I823" t="s">
        <v>44</v>
      </c>
      <c r="J823" t="s">
        <v>49</v>
      </c>
      <c r="K823" s="9">
        <v>24</v>
      </c>
      <c r="L823" s="10">
        <f>IFERROR(VLOOKUP(C823,Parâmetros!$A$5:$D$7,IF(D823="Mensal",2,IF(D823="Trimestral",3,4)),0),0)</f>
        <v>40</v>
      </c>
      <c r="M823" s="10">
        <f>IF(G823="Sim",VLOOKUP("EA Play",Parâmetros!$A$11:$B$13,2,0),0)*K823</f>
        <v>0</v>
      </c>
      <c r="N823" s="10">
        <f>IF(H823="Sim",VLOOKUP("Minecraft Pass",Parâmetros!$A$11:$B$13,2,0),0)*K823</f>
        <v>95.76</v>
      </c>
      <c r="O823" s="10">
        <f>IF(I823="Sim",VLOOKUP("Call of Duty Pass",Parâmetros!$A$11:$B$13,2,0),0)*K823</f>
        <v>0</v>
      </c>
      <c r="P823" s="10">
        <f>(L823*K823+M823+N823+O823)*IF(F823="Promoção",1-Parâmetros!$B$22,1)</f>
        <v>1055.76</v>
      </c>
      <c r="Q823" s="10">
        <f>Parâmetros!$B$20*K823</f>
        <v>288</v>
      </c>
      <c r="R823" s="10">
        <f>P823-Q823</f>
        <v>767.76</v>
      </c>
    </row>
    <row r="824" spans="1:18">
      <c r="A824">
        <v>823</v>
      </c>
      <c r="B824" s="8">
        <v>45699</v>
      </c>
      <c r="C824" t="s">
        <v>6</v>
      </c>
      <c r="D824" t="s">
        <v>46</v>
      </c>
      <c r="E824" t="s">
        <v>47</v>
      </c>
      <c r="F824" t="s">
        <v>52</v>
      </c>
      <c r="G824" t="s">
        <v>43</v>
      </c>
      <c r="H824" t="s">
        <v>43</v>
      </c>
      <c r="I824" t="s">
        <v>44</v>
      </c>
      <c r="J824" t="s">
        <v>49</v>
      </c>
      <c r="K824" s="9">
        <v>25</v>
      </c>
      <c r="L824" s="10">
        <f>IFERROR(VLOOKUP(C824,Parâmetros!$A$5:$D$7,IF(D824="Mensal",2,IF(D824="Trimestral",3,4)),0),0)</f>
        <v>9.99</v>
      </c>
      <c r="M824" s="10">
        <f>IF(G824="Sim",VLOOKUP("EA Play",Parâmetros!$A$11:$B$13,2,0),0)*K824</f>
        <v>124.75</v>
      </c>
      <c r="N824" s="10">
        <f>IF(H824="Sim",VLOOKUP("Minecraft Pass",Parâmetros!$A$11:$B$13,2,0),0)*K824</f>
        <v>99.75</v>
      </c>
      <c r="O824" s="10">
        <f>IF(I824="Sim",VLOOKUP("Call of Duty Pass",Parâmetros!$A$11:$B$13,2,0),0)*K824</f>
        <v>0</v>
      </c>
      <c r="P824" s="10">
        <f>(L824*K824+M824+N824+O824)*IF(F824="Promoção",1-Parâmetros!$B$22,1)</f>
        <v>474.25</v>
      </c>
      <c r="Q824" s="10">
        <f>Parâmetros!$B$20*K824</f>
        <v>300</v>
      </c>
      <c r="R824" s="10">
        <f>P824-Q824</f>
        <v>174.25</v>
      </c>
    </row>
    <row r="825" spans="1:18">
      <c r="A825">
        <v>824</v>
      </c>
      <c r="B825" s="8">
        <v>45729</v>
      </c>
      <c r="C825" t="s">
        <v>8</v>
      </c>
      <c r="D825" t="s">
        <v>40</v>
      </c>
      <c r="E825" t="s">
        <v>55</v>
      </c>
      <c r="F825" t="s">
        <v>48</v>
      </c>
      <c r="G825" t="s">
        <v>43</v>
      </c>
      <c r="H825" t="s">
        <v>44</v>
      </c>
      <c r="I825" t="s">
        <v>43</v>
      </c>
      <c r="J825" t="s">
        <v>49</v>
      </c>
      <c r="K825" s="9">
        <v>30</v>
      </c>
      <c r="L825" s="10">
        <f>IFERROR(VLOOKUP(C825,Parâmetros!$A$5:$D$7,IF(D825="Mensal",2,IF(D825="Trimestral",3,4)),0),0)</f>
        <v>59</v>
      </c>
      <c r="M825" s="10">
        <f>IF(G825="Sim",VLOOKUP("EA Play",Parâmetros!$A$11:$B$13,2,0),0)*K825</f>
        <v>149.70000000000002</v>
      </c>
      <c r="N825" s="10">
        <f>IF(H825="Sim",VLOOKUP("Minecraft Pass",Parâmetros!$A$11:$B$13,2,0),0)*K825</f>
        <v>0</v>
      </c>
      <c r="O825" s="10">
        <f>IF(I825="Sim",VLOOKUP("Call of Duty Pass",Parâmetros!$A$11:$B$13,2,0),0)*K825</f>
        <v>209.70000000000002</v>
      </c>
      <c r="P825" s="10">
        <f>(L825*K825+M825+N825+O825)*IF(F825="Promoção",1-Parâmetros!$B$22,1)</f>
        <v>2129.4</v>
      </c>
      <c r="Q825" s="10">
        <f>Parâmetros!$B$20*K825</f>
        <v>360</v>
      </c>
      <c r="R825" s="10">
        <f>P825-Q825</f>
        <v>1769.4</v>
      </c>
    </row>
    <row r="826" spans="1:18">
      <c r="A826">
        <v>825</v>
      </c>
      <c r="B826" s="8">
        <v>45582</v>
      </c>
      <c r="C826" t="s">
        <v>6</v>
      </c>
      <c r="D826" t="s">
        <v>40</v>
      </c>
      <c r="E826" t="s">
        <v>41</v>
      </c>
      <c r="F826" t="s">
        <v>42</v>
      </c>
      <c r="G826" t="s">
        <v>44</v>
      </c>
      <c r="H826" t="s">
        <v>43</v>
      </c>
      <c r="I826" t="s">
        <v>43</v>
      </c>
      <c r="J826" t="s">
        <v>49</v>
      </c>
      <c r="K826" s="9">
        <v>33</v>
      </c>
      <c r="L826" s="10">
        <f>IFERROR(VLOOKUP(C826,Parâmetros!$A$5:$D$7,IF(D826="Mensal",2,IF(D826="Trimestral",3,4)),0),0)</f>
        <v>27</v>
      </c>
      <c r="M826" s="10">
        <f>IF(G826="Sim",VLOOKUP("EA Play",Parâmetros!$A$11:$B$13,2,0),0)*K826</f>
        <v>0</v>
      </c>
      <c r="N826" s="10">
        <f>IF(H826="Sim",VLOOKUP("Minecraft Pass",Parâmetros!$A$11:$B$13,2,0),0)*K826</f>
        <v>131.67000000000002</v>
      </c>
      <c r="O826" s="10">
        <f>IF(I826="Sim",VLOOKUP("Call of Duty Pass",Parâmetros!$A$11:$B$13,2,0),0)*K826</f>
        <v>230.67000000000002</v>
      </c>
      <c r="P826" s="10">
        <f>(L826*K826+M826+N826+O826)*IF(F826="Promoção",1-Parâmetros!$B$22,1)</f>
        <v>1253.3400000000001</v>
      </c>
      <c r="Q826" s="10">
        <f>Parâmetros!$B$20*K826</f>
        <v>396</v>
      </c>
      <c r="R826" s="10">
        <f>P826-Q826</f>
        <v>857.34000000000015</v>
      </c>
    </row>
    <row r="827" spans="1:18">
      <c r="A827">
        <v>826</v>
      </c>
      <c r="B827" s="8">
        <v>45675</v>
      </c>
      <c r="C827" t="s">
        <v>7</v>
      </c>
      <c r="D827" t="s">
        <v>50</v>
      </c>
      <c r="E827" t="s">
        <v>53</v>
      </c>
      <c r="F827" t="s">
        <v>54</v>
      </c>
      <c r="G827" t="s">
        <v>43</v>
      </c>
      <c r="H827" t="s">
        <v>44</v>
      </c>
      <c r="I827" t="s">
        <v>44</v>
      </c>
      <c r="J827" t="s">
        <v>45</v>
      </c>
      <c r="K827" s="9">
        <v>27</v>
      </c>
      <c r="L827" s="10">
        <f>IFERROR(VLOOKUP(C827,Parâmetros!$A$5:$D$7,IF(D827="Mensal",2,IF(D827="Trimestral",3,4)),0),0)</f>
        <v>149</v>
      </c>
      <c r="M827" s="10">
        <f>IF(G827="Sim",VLOOKUP("EA Play",Parâmetros!$A$11:$B$13,2,0),0)*K827</f>
        <v>134.73000000000002</v>
      </c>
      <c r="N827" s="10">
        <f>IF(H827="Sim",VLOOKUP("Minecraft Pass",Parâmetros!$A$11:$B$13,2,0),0)*K827</f>
        <v>0</v>
      </c>
      <c r="O827" s="10">
        <f>IF(I827="Sim",VLOOKUP("Call of Duty Pass",Parâmetros!$A$11:$B$13,2,0),0)*K827</f>
        <v>0</v>
      </c>
      <c r="P827" s="10">
        <f>(L827*K827+M827+N827+O827)*IF(F827="Promoção",1-Parâmetros!$B$22,1)</f>
        <v>3741.9569999999999</v>
      </c>
      <c r="Q827" s="10">
        <f>Parâmetros!$B$20*K827</f>
        <v>324</v>
      </c>
      <c r="R827" s="10">
        <f>P827-Q827</f>
        <v>3417.9569999999999</v>
      </c>
    </row>
    <row r="828" spans="1:18">
      <c r="A828">
        <v>827</v>
      </c>
      <c r="B828" s="8">
        <v>45331</v>
      </c>
      <c r="C828" t="s">
        <v>8</v>
      </c>
      <c r="D828" t="s">
        <v>46</v>
      </c>
      <c r="E828" t="s">
        <v>55</v>
      </c>
      <c r="F828" t="s">
        <v>42</v>
      </c>
      <c r="G828" t="s">
        <v>44</v>
      </c>
      <c r="H828" t="s">
        <v>44</v>
      </c>
      <c r="I828" t="s">
        <v>44</v>
      </c>
      <c r="J828" t="s">
        <v>45</v>
      </c>
      <c r="K828" s="9">
        <v>23</v>
      </c>
      <c r="L828" s="10">
        <f>IFERROR(VLOOKUP(C828,Parâmetros!$A$5:$D$7,IF(D828="Mensal",2,IF(D828="Trimestral",3,4)),0),0)</f>
        <v>21.99</v>
      </c>
      <c r="M828" s="10">
        <f>IF(G828="Sim",VLOOKUP("EA Play",Parâmetros!$A$11:$B$13,2,0),0)*K828</f>
        <v>0</v>
      </c>
      <c r="N828" s="10">
        <f>IF(H828="Sim",VLOOKUP("Minecraft Pass",Parâmetros!$A$11:$B$13,2,0),0)*K828</f>
        <v>0</v>
      </c>
      <c r="O828" s="10">
        <f>IF(I828="Sim",VLOOKUP("Call of Duty Pass",Parâmetros!$A$11:$B$13,2,0),0)*K828</f>
        <v>0</v>
      </c>
      <c r="P828" s="10">
        <f>(L828*K828+M828+N828+O828)*IF(F828="Promoção",1-Parâmetros!$B$22,1)</f>
        <v>505.77</v>
      </c>
      <c r="Q828" s="10">
        <f>Parâmetros!$B$20*K828</f>
        <v>276</v>
      </c>
      <c r="R828" s="10">
        <f>P828-Q828</f>
        <v>229.76999999999998</v>
      </c>
    </row>
    <row r="829" spans="1:18">
      <c r="A829">
        <v>828</v>
      </c>
      <c r="B829" s="8">
        <v>45813</v>
      </c>
      <c r="C829" t="s">
        <v>7</v>
      </c>
      <c r="D829" t="s">
        <v>40</v>
      </c>
      <c r="E829" t="s">
        <v>41</v>
      </c>
      <c r="F829" t="s">
        <v>42</v>
      </c>
      <c r="G829" t="s">
        <v>43</v>
      </c>
      <c r="H829" t="s">
        <v>44</v>
      </c>
      <c r="I829" t="s">
        <v>43</v>
      </c>
      <c r="J829" t="s">
        <v>49</v>
      </c>
      <c r="K829" s="9">
        <v>24</v>
      </c>
      <c r="L829" s="10">
        <f>IFERROR(VLOOKUP(C829,Parâmetros!$A$5:$D$7,IF(D829="Mensal",2,IF(D829="Trimestral",3,4)),0),0)</f>
        <v>40</v>
      </c>
      <c r="M829" s="10">
        <f>IF(G829="Sim",VLOOKUP("EA Play",Parâmetros!$A$11:$B$13,2,0),0)*K829</f>
        <v>119.76</v>
      </c>
      <c r="N829" s="10">
        <f>IF(H829="Sim",VLOOKUP("Minecraft Pass",Parâmetros!$A$11:$B$13,2,0),0)*K829</f>
        <v>0</v>
      </c>
      <c r="O829" s="10">
        <f>IF(I829="Sim",VLOOKUP("Call of Duty Pass",Parâmetros!$A$11:$B$13,2,0),0)*K829</f>
        <v>167.76</v>
      </c>
      <c r="P829" s="10">
        <f>(L829*K829+M829+N829+O829)*IF(F829="Promoção",1-Parâmetros!$B$22,1)</f>
        <v>1247.52</v>
      </c>
      <c r="Q829" s="10">
        <f>Parâmetros!$B$20*K829</f>
        <v>288</v>
      </c>
      <c r="R829" s="10">
        <f>P829-Q829</f>
        <v>959.52</v>
      </c>
    </row>
    <row r="830" spans="1:18">
      <c r="A830">
        <v>829</v>
      </c>
      <c r="B830" s="8">
        <v>45938</v>
      </c>
      <c r="C830" t="s">
        <v>7</v>
      </c>
      <c r="D830" t="s">
        <v>46</v>
      </c>
      <c r="E830" t="s">
        <v>51</v>
      </c>
      <c r="F830" t="s">
        <v>42</v>
      </c>
      <c r="G830" t="s">
        <v>44</v>
      </c>
      <c r="H830" t="s">
        <v>44</v>
      </c>
      <c r="I830" t="s">
        <v>43</v>
      </c>
      <c r="J830" t="s">
        <v>49</v>
      </c>
      <c r="K830" s="9">
        <v>11</v>
      </c>
      <c r="L830" s="10">
        <f>IFERROR(VLOOKUP(C830,Parâmetros!$A$5:$D$7,IF(D830="Mensal",2,IF(D830="Trimestral",3,4)),0),0)</f>
        <v>14.99</v>
      </c>
      <c r="M830" s="10">
        <f>IF(G830="Sim",VLOOKUP("EA Play",Parâmetros!$A$11:$B$13,2,0),0)*K830</f>
        <v>0</v>
      </c>
      <c r="N830" s="10">
        <f>IF(H830="Sim",VLOOKUP("Minecraft Pass",Parâmetros!$A$11:$B$13,2,0),0)*K830</f>
        <v>0</v>
      </c>
      <c r="O830" s="10">
        <f>IF(I830="Sim",VLOOKUP("Call of Duty Pass",Parâmetros!$A$11:$B$13,2,0),0)*K830</f>
        <v>76.89</v>
      </c>
      <c r="P830" s="10">
        <f>(L830*K830+M830+N830+O830)*IF(F830="Promoção",1-Parâmetros!$B$22,1)</f>
        <v>241.78000000000003</v>
      </c>
      <c r="Q830" s="10">
        <f>Parâmetros!$B$20*K830</f>
        <v>132</v>
      </c>
      <c r="R830" s="10">
        <f>P830-Q830</f>
        <v>109.78000000000003</v>
      </c>
    </row>
    <row r="831" spans="1:18">
      <c r="A831">
        <v>830</v>
      </c>
      <c r="B831" s="8">
        <v>45304</v>
      </c>
      <c r="C831" t="s">
        <v>6</v>
      </c>
      <c r="D831" t="s">
        <v>46</v>
      </c>
      <c r="E831" t="s">
        <v>51</v>
      </c>
      <c r="F831" t="s">
        <v>42</v>
      </c>
      <c r="G831" t="s">
        <v>44</v>
      </c>
      <c r="H831" t="s">
        <v>44</v>
      </c>
      <c r="I831" t="s">
        <v>43</v>
      </c>
      <c r="J831" t="s">
        <v>45</v>
      </c>
      <c r="K831" s="9">
        <v>28</v>
      </c>
      <c r="L831" s="10">
        <f>IFERROR(VLOOKUP(C831,Parâmetros!$A$5:$D$7,IF(D831="Mensal",2,IF(D831="Trimestral",3,4)),0),0)</f>
        <v>9.99</v>
      </c>
      <c r="M831" s="10">
        <f>IF(G831="Sim",VLOOKUP("EA Play",Parâmetros!$A$11:$B$13,2,0),0)*K831</f>
        <v>0</v>
      </c>
      <c r="N831" s="10">
        <f>IF(H831="Sim",VLOOKUP("Minecraft Pass",Parâmetros!$A$11:$B$13,2,0),0)*K831</f>
        <v>0</v>
      </c>
      <c r="O831" s="10">
        <f>IF(I831="Sim",VLOOKUP("Call of Duty Pass",Parâmetros!$A$11:$B$13,2,0),0)*K831</f>
        <v>195.72</v>
      </c>
      <c r="P831" s="10">
        <f>(L831*K831+M831+N831+O831)*IF(F831="Promoção",1-Parâmetros!$B$22,1)</f>
        <v>475.44000000000005</v>
      </c>
      <c r="Q831" s="10">
        <f>Parâmetros!$B$20*K831</f>
        <v>336</v>
      </c>
      <c r="R831" s="10">
        <f>P831-Q831</f>
        <v>139.44000000000005</v>
      </c>
    </row>
    <row r="832" spans="1:18">
      <c r="A832">
        <v>831</v>
      </c>
      <c r="B832" s="8">
        <v>45461</v>
      </c>
      <c r="C832" t="s">
        <v>8</v>
      </c>
      <c r="D832" t="s">
        <v>46</v>
      </c>
      <c r="E832" t="s">
        <v>41</v>
      </c>
      <c r="F832" t="s">
        <v>54</v>
      </c>
      <c r="G832" t="s">
        <v>44</v>
      </c>
      <c r="H832" t="s">
        <v>43</v>
      </c>
      <c r="I832" t="s">
        <v>44</v>
      </c>
      <c r="J832" t="s">
        <v>49</v>
      </c>
      <c r="K832" s="9">
        <v>6</v>
      </c>
      <c r="L832" s="10">
        <f>IFERROR(VLOOKUP(C832,Parâmetros!$A$5:$D$7,IF(D832="Mensal",2,IF(D832="Trimestral",3,4)),0),0)</f>
        <v>21.99</v>
      </c>
      <c r="M832" s="10">
        <f>IF(G832="Sim",VLOOKUP("EA Play",Parâmetros!$A$11:$B$13,2,0),0)*K832</f>
        <v>0</v>
      </c>
      <c r="N832" s="10">
        <f>IF(H832="Sim",VLOOKUP("Minecraft Pass",Parâmetros!$A$11:$B$13,2,0),0)*K832</f>
        <v>23.94</v>
      </c>
      <c r="O832" s="10">
        <f>IF(I832="Sim",VLOOKUP("Call of Duty Pass",Parâmetros!$A$11:$B$13,2,0),0)*K832</f>
        <v>0</v>
      </c>
      <c r="P832" s="10">
        <f>(L832*K832+M832+N832+O832)*IF(F832="Promoção",1-Parâmetros!$B$22,1)</f>
        <v>140.292</v>
      </c>
      <c r="Q832" s="10">
        <f>Parâmetros!$B$20*K832</f>
        <v>72</v>
      </c>
      <c r="R832" s="10">
        <f>P832-Q832</f>
        <v>68.292000000000002</v>
      </c>
    </row>
    <row r="833" spans="1:18">
      <c r="A833">
        <v>832</v>
      </c>
      <c r="B833" s="8">
        <v>45403</v>
      </c>
      <c r="C833" t="s">
        <v>7</v>
      </c>
      <c r="D833" t="s">
        <v>40</v>
      </c>
      <c r="E833" t="s">
        <v>41</v>
      </c>
      <c r="F833" t="s">
        <v>42</v>
      </c>
      <c r="G833" t="s">
        <v>44</v>
      </c>
      <c r="H833" t="s">
        <v>44</v>
      </c>
      <c r="I833" t="s">
        <v>44</v>
      </c>
      <c r="J833" t="s">
        <v>49</v>
      </c>
      <c r="K833" s="9">
        <v>11</v>
      </c>
      <c r="L833" s="10">
        <f>IFERROR(VLOOKUP(C833,Parâmetros!$A$5:$D$7,IF(D833="Mensal",2,IF(D833="Trimestral",3,4)),0),0)</f>
        <v>40</v>
      </c>
      <c r="M833" s="10">
        <f>IF(G833="Sim",VLOOKUP("EA Play",Parâmetros!$A$11:$B$13,2,0),0)*K833</f>
        <v>0</v>
      </c>
      <c r="N833" s="10">
        <f>IF(H833="Sim",VLOOKUP("Minecraft Pass",Parâmetros!$A$11:$B$13,2,0),0)*K833</f>
        <v>0</v>
      </c>
      <c r="O833" s="10">
        <f>IF(I833="Sim",VLOOKUP("Call of Duty Pass",Parâmetros!$A$11:$B$13,2,0),0)*K833</f>
        <v>0</v>
      </c>
      <c r="P833" s="10">
        <f>(L833*K833+M833+N833+O833)*IF(F833="Promoção",1-Parâmetros!$B$22,1)</f>
        <v>440</v>
      </c>
      <c r="Q833" s="10">
        <f>Parâmetros!$B$20*K833</f>
        <v>132</v>
      </c>
      <c r="R833" s="10">
        <f>P833-Q833</f>
        <v>308</v>
      </c>
    </row>
    <row r="834" spans="1:18">
      <c r="A834">
        <v>833</v>
      </c>
      <c r="B834" s="8">
        <v>45795</v>
      </c>
      <c r="C834" t="s">
        <v>6</v>
      </c>
      <c r="D834" t="s">
        <v>46</v>
      </c>
      <c r="E834" t="s">
        <v>51</v>
      </c>
      <c r="F834" t="s">
        <v>48</v>
      </c>
      <c r="G834" t="s">
        <v>44</v>
      </c>
      <c r="H834" t="s">
        <v>44</v>
      </c>
      <c r="I834" t="s">
        <v>43</v>
      </c>
      <c r="J834" t="s">
        <v>49</v>
      </c>
      <c r="K834" s="9">
        <v>9</v>
      </c>
      <c r="L834" s="10">
        <f>IFERROR(VLOOKUP(C834,Parâmetros!$A$5:$D$7,IF(D834="Mensal",2,IF(D834="Trimestral",3,4)),0),0)</f>
        <v>9.99</v>
      </c>
      <c r="M834" s="10">
        <f>IF(G834="Sim",VLOOKUP("EA Play",Parâmetros!$A$11:$B$13,2,0),0)*K834</f>
        <v>0</v>
      </c>
      <c r="N834" s="10">
        <f>IF(H834="Sim",VLOOKUP("Minecraft Pass",Parâmetros!$A$11:$B$13,2,0),0)*K834</f>
        <v>0</v>
      </c>
      <c r="O834" s="10">
        <f>IF(I834="Sim",VLOOKUP("Call of Duty Pass",Parâmetros!$A$11:$B$13,2,0),0)*K834</f>
        <v>62.910000000000004</v>
      </c>
      <c r="P834" s="10">
        <f>(L834*K834+M834+N834+O834)*IF(F834="Promoção",1-Parâmetros!$B$22,1)</f>
        <v>152.82</v>
      </c>
      <c r="Q834" s="10">
        <f>Parâmetros!$B$20*K834</f>
        <v>108</v>
      </c>
      <c r="R834" s="10">
        <f>P834-Q834</f>
        <v>44.819999999999993</v>
      </c>
    </row>
    <row r="835" spans="1:18">
      <c r="A835">
        <v>834</v>
      </c>
      <c r="B835" s="8">
        <v>45494</v>
      </c>
      <c r="C835" t="s">
        <v>7</v>
      </c>
      <c r="D835" t="s">
        <v>40</v>
      </c>
      <c r="E835" t="s">
        <v>41</v>
      </c>
      <c r="F835" t="s">
        <v>48</v>
      </c>
      <c r="G835" t="s">
        <v>43</v>
      </c>
      <c r="H835" t="s">
        <v>43</v>
      </c>
      <c r="I835" t="s">
        <v>44</v>
      </c>
      <c r="J835" t="s">
        <v>45</v>
      </c>
      <c r="K835" s="9">
        <v>13</v>
      </c>
      <c r="L835" s="10">
        <f>IFERROR(VLOOKUP(C835,Parâmetros!$A$5:$D$7,IF(D835="Mensal",2,IF(D835="Trimestral",3,4)),0),0)</f>
        <v>40</v>
      </c>
      <c r="M835" s="10">
        <f>IF(G835="Sim",VLOOKUP("EA Play",Parâmetros!$A$11:$B$13,2,0),0)*K835</f>
        <v>64.87</v>
      </c>
      <c r="N835" s="10">
        <f>IF(H835="Sim",VLOOKUP("Minecraft Pass",Parâmetros!$A$11:$B$13,2,0),0)*K835</f>
        <v>51.870000000000005</v>
      </c>
      <c r="O835" s="10">
        <f>IF(I835="Sim",VLOOKUP("Call of Duty Pass",Parâmetros!$A$11:$B$13,2,0),0)*K835</f>
        <v>0</v>
      </c>
      <c r="P835" s="10">
        <f>(L835*K835+M835+N835+O835)*IF(F835="Promoção",1-Parâmetros!$B$22,1)</f>
        <v>636.74</v>
      </c>
      <c r="Q835" s="10">
        <f>Parâmetros!$B$20*K835</f>
        <v>156</v>
      </c>
      <c r="R835" s="10">
        <f>P835-Q835</f>
        <v>480.74</v>
      </c>
    </row>
    <row r="836" spans="1:18">
      <c r="A836">
        <v>835</v>
      </c>
      <c r="B836" s="8">
        <v>45557</v>
      </c>
      <c r="C836" t="s">
        <v>8</v>
      </c>
      <c r="D836" t="s">
        <v>50</v>
      </c>
      <c r="E836" t="s">
        <v>47</v>
      </c>
      <c r="F836" t="s">
        <v>54</v>
      </c>
      <c r="G836" t="s">
        <v>43</v>
      </c>
      <c r="H836" t="s">
        <v>44</v>
      </c>
      <c r="I836" t="s">
        <v>43</v>
      </c>
      <c r="J836" t="s">
        <v>49</v>
      </c>
      <c r="K836" s="9">
        <v>8</v>
      </c>
      <c r="L836" s="10">
        <f>IFERROR(VLOOKUP(C836,Parâmetros!$A$5:$D$7,IF(D836="Mensal",2,IF(D836="Trimestral",3,4)),0),0)</f>
        <v>219</v>
      </c>
      <c r="M836" s="10">
        <f>IF(G836="Sim",VLOOKUP("EA Play",Parâmetros!$A$11:$B$13,2,0),0)*K836</f>
        <v>39.92</v>
      </c>
      <c r="N836" s="10">
        <f>IF(H836="Sim",VLOOKUP("Minecraft Pass",Parâmetros!$A$11:$B$13,2,0),0)*K836</f>
        <v>0</v>
      </c>
      <c r="O836" s="10">
        <f>IF(I836="Sim",VLOOKUP("Call of Duty Pass",Parâmetros!$A$11:$B$13,2,0),0)*K836</f>
        <v>55.92</v>
      </c>
      <c r="P836" s="10">
        <f>(L836*K836+M836+N836+O836)*IF(F836="Promoção",1-Parâmetros!$B$22,1)</f>
        <v>1663.0560000000003</v>
      </c>
      <c r="Q836" s="10">
        <f>Parâmetros!$B$20*K836</f>
        <v>96</v>
      </c>
      <c r="R836" s="10">
        <f>P836-Q836</f>
        <v>1567.0560000000003</v>
      </c>
    </row>
    <row r="837" spans="1:18">
      <c r="A837">
        <v>836</v>
      </c>
      <c r="B837" s="8">
        <v>45575</v>
      </c>
      <c r="C837" t="s">
        <v>6</v>
      </c>
      <c r="D837" t="s">
        <v>46</v>
      </c>
      <c r="E837" t="s">
        <v>41</v>
      </c>
      <c r="F837" t="s">
        <v>48</v>
      </c>
      <c r="G837" t="s">
        <v>44</v>
      </c>
      <c r="H837" t="s">
        <v>43</v>
      </c>
      <c r="I837" t="s">
        <v>43</v>
      </c>
      <c r="J837" t="s">
        <v>45</v>
      </c>
      <c r="K837" s="9">
        <v>3</v>
      </c>
      <c r="L837" s="10">
        <f>IFERROR(VLOOKUP(C837,Parâmetros!$A$5:$D$7,IF(D837="Mensal",2,IF(D837="Trimestral",3,4)),0),0)</f>
        <v>9.99</v>
      </c>
      <c r="M837" s="10">
        <f>IF(G837="Sim",VLOOKUP("EA Play",Parâmetros!$A$11:$B$13,2,0),0)*K837</f>
        <v>0</v>
      </c>
      <c r="N837" s="10">
        <f>IF(H837="Sim",VLOOKUP("Minecraft Pass",Parâmetros!$A$11:$B$13,2,0),0)*K837</f>
        <v>11.97</v>
      </c>
      <c r="O837" s="10">
        <f>IF(I837="Sim",VLOOKUP("Call of Duty Pass",Parâmetros!$A$11:$B$13,2,0),0)*K837</f>
        <v>20.97</v>
      </c>
      <c r="P837" s="10">
        <f>(L837*K837+M837+N837+O837)*IF(F837="Promoção",1-Parâmetros!$B$22,1)</f>
        <v>62.91</v>
      </c>
      <c r="Q837" s="10">
        <f>Parâmetros!$B$20*K837</f>
        <v>36</v>
      </c>
      <c r="R837" s="10">
        <f>P837-Q837</f>
        <v>26.909999999999997</v>
      </c>
    </row>
    <row r="838" spans="1:18">
      <c r="A838">
        <v>837</v>
      </c>
      <c r="B838" s="8">
        <v>45391</v>
      </c>
      <c r="C838" t="s">
        <v>6</v>
      </c>
      <c r="D838" t="s">
        <v>40</v>
      </c>
      <c r="E838" t="s">
        <v>41</v>
      </c>
      <c r="F838" t="s">
        <v>48</v>
      </c>
      <c r="G838" t="s">
        <v>44</v>
      </c>
      <c r="H838" t="s">
        <v>43</v>
      </c>
      <c r="I838" t="s">
        <v>44</v>
      </c>
      <c r="J838" t="s">
        <v>45</v>
      </c>
      <c r="K838" s="9">
        <v>28</v>
      </c>
      <c r="L838" s="10">
        <f>IFERROR(VLOOKUP(C838,Parâmetros!$A$5:$D$7,IF(D838="Mensal",2,IF(D838="Trimestral",3,4)),0),0)</f>
        <v>27</v>
      </c>
      <c r="M838" s="10">
        <f>IF(G838="Sim",VLOOKUP("EA Play",Parâmetros!$A$11:$B$13,2,0),0)*K838</f>
        <v>0</v>
      </c>
      <c r="N838" s="10">
        <f>IF(H838="Sim",VLOOKUP("Minecraft Pass",Parâmetros!$A$11:$B$13,2,0),0)*K838</f>
        <v>111.72</v>
      </c>
      <c r="O838" s="10">
        <f>IF(I838="Sim",VLOOKUP("Call of Duty Pass",Parâmetros!$A$11:$B$13,2,0),0)*K838</f>
        <v>0</v>
      </c>
      <c r="P838" s="10">
        <f>(L838*K838+M838+N838+O838)*IF(F838="Promoção",1-Parâmetros!$B$22,1)</f>
        <v>867.72</v>
      </c>
      <c r="Q838" s="10">
        <f>Parâmetros!$B$20*K838</f>
        <v>336</v>
      </c>
      <c r="R838" s="10">
        <f>P838-Q838</f>
        <v>531.72</v>
      </c>
    </row>
    <row r="839" spans="1:18">
      <c r="A839">
        <v>838</v>
      </c>
      <c r="B839" s="8">
        <v>45636</v>
      </c>
      <c r="C839" t="s">
        <v>6</v>
      </c>
      <c r="D839" t="s">
        <v>50</v>
      </c>
      <c r="E839" t="s">
        <v>53</v>
      </c>
      <c r="F839" t="s">
        <v>54</v>
      </c>
      <c r="G839" t="s">
        <v>44</v>
      </c>
      <c r="H839" t="s">
        <v>44</v>
      </c>
      <c r="I839" t="s">
        <v>44</v>
      </c>
      <c r="J839" t="s">
        <v>49</v>
      </c>
      <c r="K839" s="9">
        <v>23</v>
      </c>
      <c r="L839" s="10">
        <f>IFERROR(VLOOKUP(C839,Parâmetros!$A$5:$D$7,IF(D839="Mensal",2,IF(D839="Trimestral",3,4)),0),0)</f>
        <v>99</v>
      </c>
      <c r="M839" s="10">
        <f>IF(G839="Sim",VLOOKUP("EA Play",Parâmetros!$A$11:$B$13,2,0),0)*K839</f>
        <v>0</v>
      </c>
      <c r="N839" s="10">
        <f>IF(H839="Sim",VLOOKUP("Minecraft Pass",Parâmetros!$A$11:$B$13,2,0),0)*K839</f>
        <v>0</v>
      </c>
      <c r="O839" s="10">
        <f>IF(I839="Sim",VLOOKUP("Call of Duty Pass",Parâmetros!$A$11:$B$13,2,0),0)*K839</f>
        <v>0</v>
      </c>
      <c r="P839" s="10">
        <f>(L839*K839+M839+N839+O839)*IF(F839="Promoção",1-Parâmetros!$B$22,1)</f>
        <v>2049.3000000000002</v>
      </c>
      <c r="Q839" s="10">
        <f>Parâmetros!$B$20*K839</f>
        <v>276</v>
      </c>
      <c r="R839" s="10">
        <f>P839-Q839</f>
        <v>1773.3000000000002</v>
      </c>
    </row>
    <row r="840" spans="1:18">
      <c r="A840">
        <v>839</v>
      </c>
      <c r="B840" s="8">
        <v>45630</v>
      </c>
      <c r="C840" t="s">
        <v>8</v>
      </c>
      <c r="D840" t="s">
        <v>46</v>
      </c>
      <c r="E840" t="s">
        <v>55</v>
      </c>
      <c r="F840" t="s">
        <v>48</v>
      </c>
      <c r="G840" t="s">
        <v>44</v>
      </c>
      <c r="H840" t="s">
        <v>44</v>
      </c>
      <c r="I840" t="s">
        <v>43</v>
      </c>
      <c r="J840" t="s">
        <v>49</v>
      </c>
      <c r="K840" s="9">
        <v>34</v>
      </c>
      <c r="L840" s="10">
        <f>IFERROR(VLOOKUP(C840,Parâmetros!$A$5:$D$7,IF(D840="Mensal",2,IF(D840="Trimestral",3,4)),0),0)</f>
        <v>21.99</v>
      </c>
      <c r="M840" s="10">
        <f>IF(G840="Sim",VLOOKUP("EA Play",Parâmetros!$A$11:$B$13,2,0),0)*K840</f>
        <v>0</v>
      </c>
      <c r="N840" s="10">
        <f>IF(H840="Sim",VLOOKUP("Minecraft Pass",Parâmetros!$A$11:$B$13,2,0),0)*K840</f>
        <v>0</v>
      </c>
      <c r="O840" s="10">
        <f>IF(I840="Sim",VLOOKUP("Call of Duty Pass",Parâmetros!$A$11:$B$13,2,0),0)*K840</f>
        <v>237.66</v>
      </c>
      <c r="P840" s="10">
        <f>(L840*K840+M840+N840+O840)*IF(F840="Promoção",1-Parâmetros!$B$22,1)</f>
        <v>985.31999999999994</v>
      </c>
      <c r="Q840" s="10">
        <f>Parâmetros!$B$20*K840</f>
        <v>408</v>
      </c>
      <c r="R840" s="10">
        <f>P840-Q840</f>
        <v>577.31999999999994</v>
      </c>
    </row>
    <row r="841" spans="1:18">
      <c r="A841">
        <v>840</v>
      </c>
      <c r="B841" s="8">
        <v>45578</v>
      </c>
      <c r="C841" t="s">
        <v>8</v>
      </c>
      <c r="D841" t="s">
        <v>40</v>
      </c>
      <c r="E841" t="s">
        <v>41</v>
      </c>
      <c r="F841" t="s">
        <v>48</v>
      </c>
      <c r="G841" t="s">
        <v>44</v>
      </c>
      <c r="H841" t="s">
        <v>44</v>
      </c>
      <c r="I841" t="s">
        <v>44</v>
      </c>
      <c r="J841" t="s">
        <v>45</v>
      </c>
      <c r="K841" s="9">
        <v>1</v>
      </c>
      <c r="L841" s="10">
        <f>IFERROR(VLOOKUP(C841,Parâmetros!$A$5:$D$7,IF(D841="Mensal",2,IF(D841="Trimestral",3,4)),0),0)</f>
        <v>59</v>
      </c>
      <c r="M841" s="10">
        <f>IF(G841="Sim",VLOOKUP("EA Play",Parâmetros!$A$11:$B$13,2,0),0)*K841</f>
        <v>0</v>
      </c>
      <c r="N841" s="10">
        <f>IF(H841="Sim",VLOOKUP("Minecraft Pass",Parâmetros!$A$11:$B$13,2,0),0)*K841</f>
        <v>0</v>
      </c>
      <c r="O841" s="10">
        <f>IF(I841="Sim",VLOOKUP("Call of Duty Pass",Parâmetros!$A$11:$B$13,2,0),0)*K841</f>
        <v>0</v>
      </c>
      <c r="P841" s="10">
        <f>(L841*K841+M841+N841+O841)*IF(F841="Promoção",1-Parâmetros!$B$22,1)</f>
        <v>59</v>
      </c>
      <c r="Q841" s="10">
        <f>Parâmetros!$B$20*K841</f>
        <v>12</v>
      </c>
      <c r="R841" s="10">
        <f>P841-Q841</f>
        <v>47</v>
      </c>
    </row>
    <row r="842" spans="1:18">
      <c r="A842">
        <v>841</v>
      </c>
      <c r="B842" s="8">
        <v>45945</v>
      </c>
      <c r="C842" t="s">
        <v>8</v>
      </c>
      <c r="D842" t="s">
        <v>50</v>
      </c>
      <c r="E842" t="s">
        <v>41</v>
      </c>
      <c r="F842" t="s">
        <v>42</v>
      </c>
      <c r="G842" t="s">
        <v>43</v>
      </c>
      <c r="H842" t="s">
        <v>44</v>
      </c>
      <c r="I842" t="s">
        <v>44</v>
      </c>
      <c r="J842" t="s">
        <v>49</v>
      </c>
      <c r="K842" s="9">
        <v>32</v>
      </c>
      <c r="L842" s="10">
        <f>IFERROR(VLOOKUP(C842,Parâmetros!$A$5:$D$7,IF(D842="Mensal",2,IF(D842="Trimestral",3,4)),0),0)</f>
        <v>219</v>
      </c>
      <c r="M842" s="10">
        <f>IF(G842="Sim",VLOOKUP("EA Play",Parâmetros!$A$11:$B$13,2,0),0)*K842</f>
        <v>159.68</v>
      </c>
      <c r="N842" s="10">
        <f>IF(H842="Sim",VLOOKUP("Minecraft Pass",Parâmetros!$A$11:$B$13,2,0),0)*K842</f>
        <v>0</v>
      </c>
      <c r="O842" s="10">
        <f>IF(I842="Sim",VLOOKUP("Call of Duty Pass",Parâmetros!$A$11:$B$13,2,0),0)*K842</f>
        <v>0</v>
      </c>
      <c r="P842" s="10">
        <f>(L842*K842+M842+N842+O842)*IF(F842="Promoção",1-Parâmetros!$B$22,1)</f>
        <v>7167.68</v>
      </c>
      <c r="Q842" s="10">
        <f>Parâmetros!$B$20*K842</f>
        <v>384</v>
      </c>
      <c r="R842" s="10">
        <f>P842-Q842</f>
        <v>6783.68</v>
      </c>
    </row>
    <row r="843" spans="1:18">
      <c r="A843">
        <v>842</v>
      </c>
      <c r="B843" s="8">
        <v>45701</v>
      </c>
      <c r="C843" t="s">
        <v>7</v>
      </c>
      <c r="D843" t="s">
        <v>40</v>
      </c>
      <c r="E843" t="s">
        <v>41</v>
      </c>
      <c r="F843" t="s">
        <v>54</v>
      </c>
      <c r="G843" t="s">
        <v>44</v>
      </c>
      <c r="H843" t="s">
        <v>44</v>
      </c>
      <c r="I843" t="s">
        <v>44</v>
      </c>
      <c r="J843" t="s">
        <v>45</v>
      </c>
      <c r="K843" s="9">
        <v>7</v>
      </c>
      <c r="L843" s="10">
        <f>IFERROR(VLOOKUP(C843,Parâmetros!$A$5:$D$7,IF(D843="Mensal",2,IF(D843="Trimestral",3,4)),0),0)</f>
        <v>40</v>
      </c>
      <c r="M843" s="10">
        <f>IF(G843="Sim",VLOOKUP("EA Play",Parâmetros!$A$11:$B$13,2,0),0)*K843</f>
        <v>0</v>
      </c>
      <c r="N843" s="10">
        <f>IF(H843="Sim",VLOOKUP("Minecraft Pass",Parâmetros!$A$11:$B$13,2,0),0)*K843</f>
        <v>0</v>
      </c>
      <c r="O843" s="10">
        <f>IF(I843="Sim",VLOOKUP("Call of Duty Pass",Parâmetros!$A$11:$B$13,2,0),0)*K843</f>
        <v>0</v>
      </c>
      <c r="P843" s="10">
        <f>(L843*K843+M843+N843+O843)*IF(F843="Promoção",1-Parâmetros!$B$22,1)</f>
        <v>252</v>
      </c>
      <c r="Q843" s="10">
        <f>Parâmetros!$B$20*K843</f>
        <v>84</v>
      </c>
      <c r="R843" s="10">
        <f>P843-Q843</f>
        <v>168</v>
      </c>
    </row>
    <row r="844" spans="1:18">
      <c r="A844">
        <v>843</v>
      </c>
      <c r="B844" s="8">
        <v>45686</v>
      </c>
      <c r="C844" t="s">
        <v>6</v>
      </c>
      <c r="D844" t="s">
        <v>46</v>
      </c>
      <c r="E844" t="s">
        <v>41</v>
      </c>
      <c r="F844" t="s">
        <v>48</v>
      </c>
      <c r="G844" t="s">
        <v>44</v>
      </c>
      <c r="H844" t="s">
        <v>44</v>
      </c>
      <c r="I844" t="s">
        <v>44</v>
      </c>
      <c r="J844" t="s">
        <v>49</v>
      </c>
      <c r="K844" s="9">
        <v>6</v>
      </c>
      <c r="L844" s="10">
        <f>IFERROR(VLOOKUP(C844,Parâmetros!$A$5:$D$7,IF(D844="Mensal",2,IF(D844="Trimestral",3,4)),0),0)</f>
        <v>9.99</v>
      </c>
      <c r="M844" s="10">
        <f>IF(G844="Sim",VLOOKUP("EA Play",Parâmetros!$A$11:$B$13,2,0),0)*K844</f>
        <v>0</v>
      </c>
      <c r="N844" s="10">
        <f>IF(H844="Sim",VLOOKUP("Minecraft Pass",Parâmetros!$A$11:$B$13,2,0),0)*K844</f>
        <v>0</v>
      </c>
      <c r="O844" s="10">
        <f>IF(I844="Sim",VLOOKUP("Call of Duty Pass",Parâmetros!$A$11:$B$13,2,0),0)*K844</f>
        <v>0</v>
      </c>
      <c r="P844" s="10">
        <f>(L844*K844+M844+N844+O844)*IF(F844="Promoção",1-Parâmetros!$B$22,1)</f>
        <v>59.94</v>
      </c>
      <c r="Q844" s="10">
        <f>Parâmetros!$B$20*K844</f>
        <v>72</v>
      </c>
      <c r="R844" s="10">
        <f>P844-Q844</f>
        <v>-12.060000000000002</v>
      </c>
    </row>
    <row r="845" spans="1:18">
      <c r="A845">
        <v>844</v>
      </c>
      <c r="B845" s="8">
        <v>45600</v>
      </c>
      <c r="C845" t="s">
        <v>8</v>
      </c>
      <c r="D845" t="s">
        <v>50</v>
      </c>
      <c r="E845" t="s">
        <v>53</v>
      </c>
      <c r="F845" t="s">
        <v>48</v>
      </c>
      <c r="G845" t="s">
        <v>44</v>
      </c>
      <c r="H845" t="s">
        <v>44</v>
      </c>
      <c r="I845" t="s">
        <v>44</v>
      </c>
      <c r="J845" t="s">
        <v>49</v>
      </c>
      <c r="K845" s="9">
        <v>16</v>
      </c>
      <c r="L845" s="10">
        <f>IFERROR(VLOOKUP(C845,Parâmetros!$A$5:$D$7,IF(D845="Mensal",2,IF(D845="Trimestral",3,4)),0),0)</f>
        <v>219</v>
      </c>
      <c r="M845" s="10">
        <f>IF(G845="Sim",VLOOKUP("EA Play",Parâmetros!$A$11:$B$13,2,0),0)*K845</f>
        <v>0</v>
      </c>
      <c r="N845" s="10">
        <f>IF(H845="Sim",VLOOKUP("Minecraft Pass",Parâmetros!$A$11:$B$13,2,0),0)*K845</f>
        <v>0</v>
      </c>
      <c r="O845" s="10">
        <f>IF(I845="Sim",VLOOKUP("Call of Duty Pass",Parâmetros!$A$11:$B$13,2,0),0)*K845</f>
        <v>0</v>
      </c>
      <c r="P845" s="10">
        <f>(L845*K845+M845+N845+O845)*IF(F845="Promoção",1-Parâmetros!$B$22,1)</f>
        <v>3504</v>
      </c>
      <c r="Q845" s="10">
        <f>Parâmetros!$B$20*K845</f>
        <v>192</v>
      </c>
      <c r="R845" s="10">
        <f>P845-Q845</f>
        <v>3312</v>
      </c>
    </row>
    <row r="846" spans="1:18">
      <c r="A846">
        <v>845</v>
      </c>
      <c r="B846" s="8">
        <v>45508</v>
      </c>
      <c r="C846" t="s">
        <v>6</v>
      </c>
      <c r="D846" t="s">
        <v>50</v>
      </c>
      <c r="E846" t="s">
        <v>51</v>
      </c>
      <c r="F846" t="s">
        <v>42</v>
      </c>
      <c r="G846" t="s">
        <v>44</v>
      </c>
      <c r="H846" t="s">
        <v>43</v>
      </c>
      <c r="I846" t="s">
        <v>44</v>
      </c>
      <c r="J846" t="s">
        <v>49</v>
      </c>
      <c r="K846" s="9">
        <v>25</v>
      </c>
      <c r="L846" s="10">
        <f>IFERROR(VLOOKUP(C846,Parâmetros!$A$5:$D$7,IF(D846="Mensal",2,IF(D846="Trimestral",3,4)),0),0)</f>
        <v>99</v>
      </c>
      <c r="M846" s="10">
        <f>IF(G846="Sim",VLOOKUP("EA Play",Parâmetros!$A$11:$B$13,2,0),0)*K846</f>
        <v>0</v>
      </c>
      <c r="N846" s="10">
        <f>IF(H846="Sim",VLOOKUP("Minecraft Pass",Parâmetros!$A$11:$B$13,2,0),0)*K846</f>
        <v>99.75</v>
      </c>
      <c r="O846" s="10">
        <f>IF(I846="Sim",VLOOKUP("Call of Duty Pass",Parâmetros!$A$11:$B$13,2,0),0)*K846</f>
        <v>0</v>
      </c>
      <c r="P846" s="10">
        <f>(L846*K846+M846+N846+O846)*IF(F846="Promoção",1-Parâmetros!$B$22,1)</f>
        <v>2574.75</v>
      </c>
      <c r="Q846" s="10">
        <f>Parâmetros!$B$20*K846</f>
        <v>300</v>
      </c>
      <c r="R846" s="10">
        <f>P846-Q846</f>
        <v>2274.75</v>
      </c>
    </row>
    <row r="847" spans="1:18">
      <c r="A847">
        <v>846</v>
      </c>
      <c r="B847" s="8">
        <v>45579</v>
      </c>
      <c r="C847" t="s">
        <v>6</v>
      </c>
      <c r="D847" t="s">
        <v>46</v>
      </c>
      <c r="E847" t="s">
        <v>47</v>
      </c>
      <c r="F847" t="s">
        <v>54</v>
      </c>
      <c r="G847" t="s">
        <v>43</v>
      </c>
      <c r="H847" t="s">
        <v>43</v>
      </c>
      <c r="I847" t="s">
        <v>44</v>
      </c>
      <c r="J847" t="s">
        <v>45</v>
      </c>
      <c r="K847" s="9">
        <v>6</v>
      </c>
      <c r="L847" s="10">
        <f>IFERROR(VLOOKUP(C847,Parâmetros!$A$5:$D$7,IF(D847="Mensal",2,IF(D847="Trimestral",3,4)),0),0)</f>
        <v>9.99</v>
      </c>
      <c r="M847" s="10">
        <f>IF(G847="Sim",VLOOKUP("EA Play",Parâmetros!$A$11:$B$13,2,0),0)*K847</f>
        <v>29.94</v>
      </c>
      <c r="N847" s="10">
        <f>IF(H847="Sim",VLOOKUP("Minecraft Pass",Parâmetros!$A$11:$B$13,2,0),0)*K847</f>
        <v>23.94</v>
      </c>
      <c r="O847" s="10">
        <f>IF(I847="Sim",VLOOKUP("Call of Duty Pass",Parâmetros!$A$11:$B$13,2,0),0)*K847</f>
        <v>0</v>
      </c>
      <c r="P847" s="10">
        <f>(L847*K847+M847+N847+O847)*IF(F847="Promoção",1-Parâmetros!$B$22,1)</f>
        <v>102.438</v>
      </c>
      <c r="Q847" s="10">
        <f>Parâmetros!$B$20*K847</f>
        <v>72</v>
      </c>
      <c r="R847" s="10">
        <f>P847-Q847</f>
        <v>30.438000000000002</v>
      </c>
    </row>
    <row r="848" spans="1:18">
      <c r="A848">
        <v>847</v>
      </c>
      <c r="B848" s="8">
        <v>46000</v>
      </c>
      <c r="C848" t="s">
        <v>6</v>
      </c>
      <c r="D848" t="s">
        <v>46</v>
      </c>
      <c r="E848" t="s">
        <v>47</v>
      </c>
      <c r="F848" t="s">
        <v>54</v>
      </c>
      <c r="G848" t="s">
        <v>43</v>
      </c>
      <c r="H848" t="s">
        <v>43</v>
      </c>
      <c r="I848" t="s">
        <v>44</v>
      </c>
      <c r="J848" t="s">
        <v>45</v>
      </c>
      <c r="K848" s="9">
        <v>25</v>
      </c>
      <c r="L848" s="10">
        <f>IFERROR(VLOOKUP(C848,Parâmetros!$A$5:$D$7,IF(D848="Mensal",2,IF(D848="Trimestral",3,4)),0),0)</f>
        <v>9.99</v>
      </c>
      <c r="M848" s="10">
        <f>IF(G848="Sim",VLOOKUP("EA Play",Parâmetros!$A$11:$B$13,2,0),0)*K848</f>
        <v>124.75</v>
      </c>
      <c r="N848" s="10">
        <f>IF(H848="Sim",VLOOKUP("Minecraft Pass",Parâmetros!$A$11:$B$13,2,0),0)*K848</f>
        <v>99.75</v>
      </c>
      <c r="O848" s="10">
        <f>IF(I848="Sim",VLOOKUP("Call of Duty Pass",Parâmetros!$A$11:$B$13,2,0),0)*K848</f>
        <v>0</v>
      </c>
      <c r="P848" s="10">
        <f>(L848*K848+M848+N848+O848)*IF(F848="Promoção",1-Parâmetros!$B$22,1)</f>
        <v>426.82499999999999</v>
      </c>
      <c r="Q848" s="10">
        <f>Parâmetros!$B$20*K848</f>
        <v>300</v>
      </c>
      <c r="R848" s="10">
        <f>P848-Q848</f>
        <v>126.82499999999999</v>
      </c>
    </row>
    <row r="849" spans="1:18">
      <c r="A849">
        <v>848</v>
      </c>
      <c r="B849" s="8">
        <v>45961</v>
      </c>
      <c r="C849" t="s">
        <v>7</v>
      </c>
      <c r="D849" t="s">
        <v>40</v>
      </c>
      <c r="E849" t="s">
        <v>55</v>
      </c>
      <c r="F849" t="s">
        <v>54</v>
      </c>
      <c r="G849" t="s">
        <v>43</v>
      </c>
      <c r="H849" t="s">
        <v>43</v>
      </c>
      <c r="I849" t="s">
        <v>43</v>
      </c>
      <c r="J849" t="s">
        <v>49</v>
      </c>
      <c r="K849" s="9">
        <v>13</v>
      </c>
      <c r="L849" s="10">
        <f>IFERROR(VLOOKUP(C849,Parâmetros!$A$5:$D$7,IF(D849="Mensal",2,IF(D849="Trimestral",3,4)),0),0)</f>
        <v>40</v>
      </c>
      <c r="M849" s="10">
        <f>IF(G849="Sim",VLOOKUP("EA Play",Parâmetros!$A$11:$B$13,2,0),0)*K849</f>
        <v>64.87</v>
      </c>
      <c r="N849" s="10">
        <f>IF(H849="Sim",VLOOKUP("Minecraft Pass",Parâmetros!$A$11:$B$13,2,0),0)*K849</f>
        <v>51.870000000000005</v>
      </c>
      <c r="O849" s="10">
        <f>IF(I849="Sim",VLOOKUP("Call of Duty Pass",Parâmetros!$A$11:$B$13,2,0),0)*K849</f>
        <v>90.87</v>
      </c>
      <c r="P849" s="10">
        <f>(L849*K849+M849+N849+O849)*IF(F849="Promoção",1-Parâmetros!$B$22,1)</f>
        <v>654.84900000000005</v>
      </c>
      <c r="Q849" s="10">
        <f>Parâmetros!$B$20*K849</f>
        <v>156</v>
      </c>
      <c r="R849" s="10">
        <f>P849-Q849</f>
        <v>498.84900000000005</v>
      </c>
    </row>
    <row r="850" spans="1:18">
      <c r="A850">
        <v>849</v>
      </c>
      <c r="B850" s="8">
        <v>45410</v>
      </c>
      <c r="C850" t="s">
        <v>7</v>
      </c>
      <c r="D850" t="s">
        <v>46</v>
      </c>
      <c r="E850" t="s">
        <v>41</v>
      </c>
      <c r="F850" t="s">
        <v>42</v>
      </c>
      <c r="G850" t="s">
        <v>44</v>
      </c>
      <c r="H850" t="s">
        <v>43</v>
      </c>
      <c r="I850" t="s">
        <v>44</v>
      </c>
      <c r="J850" t="s">
        <v>49</v>
      </c>
      <c r="K850" s="9">
        <v>25</v>
      </c>
      <c r="L850" s="10">
        <f>IFERROR(VLOOKUP(C850,Parâmetros!$A$5:$D$7,IF(D850="Mensal",2,IF(D850="Trimestral",3,4)),0),0)</f>
        <v>14.99</v>
      </c>
      <c r="M850" s="10">
        <f>IF(G850="Sim",VLOOKUP("EA Play",Parâmetros!$A$11:$B$13,2,0),0)*K850</f>
        <v>0</v>
      </c>
      <c r="N850" s="10">
        <f>IF(H850="Sim",VLOOKUP("Minecraft Pass",Parâmetros!$A$11:$B$13,2,0),0)*K850</f>
        <v>99.75</v>
      </c>
      <c r="O850" s="10">
        <f>IF(I850="Sim",VLOOKUP("Call of Duty Pass",Parâmetros!$A$11:$B$13,2,0),0)*K850</f>
        <v>0</v>
      </c>
      <c r="P850" s="10">
        <f>(L850*K850+M850+N850+O850)*IF(F850="Promoção",1-Parâmetros!$B$22,1)</f>
        <v>474.5</v>
      </c>
      <c r="Q850" s="10">
        <f>Parâmetros!$B$20*K850</f>
        <v>300</v>
      </c>
      <c r="R850" s="10">
        <f>P850-Q850</f>
        <v>174.5</v>
      </c>
    </row>
    <row r="851" spans="1:18">
      <c r="A851">
        <v>850</v>
      </c>
      <c r="B851" s="8">
        <v>45725</v>
      </c>
      <c r="C851" t="s">
        <v>6</v>
      </c>
      <c r="D851" t="s">
        <v>46</v>
      </c>
      <c r="E851" t="s">
        <v>51</v>
      </c>
      <c r="F851" t="s">
        <v>52</v>
      </c>
      <c r="G851" t="s">
        <v>44</v>
      </c>
      <c r="H851" t="s">
        <v>44</v>
      </c>
      <c r="I851" t="s">
        <v>43</v>
      </c>
      <c r="J851" t="s">
        <v>49</v>
      </c>
      <c r="K851" s="9">
        <v>35</v>
      </c>
      <c r="L851" s="10">
        <f>IFERROR(VLOOKUP(C851,Parâmetros!$A$5:$D$7,IF(D851="Mensal",2,IF(D851="Trimestral",3,4)),0),0)</f>
        <v>9.99</v>
      </c>
      <c r="M851" s="10">
        <f>IF(G851="Sim",VLOOKUP("EA Play",Parâmetros!$A$11:$B$13,2,0),0)*K851</f>
        <v>0</v>
      </c>
      <c r="N851" s="10">
        <f>IF(H851="Sim",VLOOKUP("Minecraft Pass",Parâmetros!$A$11:$B$13,2,0),0)*K851</f>
        <v>0</v>
      </c>
      <c r="O851" s="10">
        <f>IF(I851="Sim",VLOOKUP("Call of Duty Pass",Parâmetros!$A$11:$B$13,2,0),0)*K851</f>
        <v>244.65</v>
      </c>
      <c r="P851" s="10">
        <f>(L851*K851+M851+N851+O851)*IF(F851="Promoção",1-Parâmetros!$B$22,1)</f>
        <v>594.30000000000007</v>
      </c>
      <c r="Q851" s="10">
        <f>Parâmetros!$B$20*K851</f>
        <v>420</v>
      </c>
      <c r="R851" s="10">
        <f>P851-Q851</f>
        <v>174.30000000000007</v>
      </c>
    </row>
    <row r="852" spans="1:18">
      <c r="A852">
        <v>851</v>
      </c>
      <c r="B852" s="8">
        <v>45763</v>
      </c>
      <c r="C852" t="s">
        <v>6</v>
      </c>
      <c r="D852" t="s">
        <v>50</v>
      </c>
      <c r="E852" t="s">
        <v>41</v>
      </c>
      <c r="F852" t="s">
        <v>42</v>
      </c>
      <c r="G852" t="s">
        <v>44</v>
      </c>
      <c r="H852" t="s">
        <v>43</v>
      </c>
      <c r="I852" t="s">
        <v>43</v>
      </c>
      <c r="J852" t="s">
        <v>45</v>
      </c>
      <c r="K852" s="9">
        <v>3</v>
      </c>
      <c r="L852" s="10">
        <f>IFERROR(VLOOKUP(C852,Parâmetros!$A$5:$D$7,IF(D852="Mensal",2,IF(D852="Trimestral",3,4)),0),0)</f>
        <v>99</v>
      </c>
      <c r="M852" s="10">
        <f>IF(G852="Sim",VLOOKUP("EA Play",Parâmetros!$A$11:$B$13,2,0),0)*K852</f>
        <v>0</v>
      </c>
      <c r="N852" s="10">
        <f>IF(H852="Sim",VLOOKUP("Minecraft Pass",Parâmetros!$A$11:$B$13,2,0),0)*K852</f>
        <v>11.97</v>
      </c>
      <c r="O852" s="10">
        <f>IF(I852="Sim",VLOOKUP("Call of Duty Pass",Parâmetros!$A$11:$B$13,2,0),0)*K852</f>
        <v>20.97</v>
      </c>
      <c r="P852" s="10">
        <f>(L852*K852+M852+N852+O852)*IF(F852="Promoção",1-Parâmetros!$B$22,1)</f>
        <v>329.94000000000005</v>
      </c>
      <c r="Q852" s="10">
        <f>Parâmetros!$B$20*K852</f>
        <v>36</v>
      </c>
      <c r="R852" s="10">
        <f>P852-Q852</f>
        <v>293.94000000000005</v>
      </c>
    </row>
    <row r="853" spans="1:18">
      <c r="A853">
        <v>852</v>
      </c>
      <c r="B853" s="8">
        <v>45905</v>
      </c>
      <c r="C853" t="s">
        <v>6</v>
      </c>
      <c r="D853" t="s">
        <v>40</v>
      </c>
      <c r="E853" t="s">
        <v>51</v>
      </c>
      <c r="F853" t="s">
        <v>42</v>
      </c>
      <c r="G853" t="s">
        <v>44</v>
      </c>
      <c r="H853" t="s">
        <v>44</v>
      </c>
      <c r="I853" t="s">
        <v>44</v>
      </c>
      <c r="J853" t="s">
        <v>49</v>
      </c>
      <c r="K853" s="9">
        <v>19</v>
      </c>
      <c r="L853" s="10">
        <f>IFERROR(VLOOKUP(C853,Parâmetros!$A$5:$D$7,IF(D853="Mensal",2,IF(D853="Trimestral",3,4)),0),0)</f>
        <v>27</v>
      </c>
      <c r="M853" s="10">
        <f>IF(G853="Sim",VLOOKUP("EA Play",Parâmetros!$A$11:$B$13,2,0),0)*K853</f>
        <v>0</v>
      </c>
      <c r="N853" s="10">
        <f>IF(H853="Sim",VLOOKUP("Minecraft Pass",Parâmetros!$A$11:$B$13,2,0),0)*K853</f>
        <v>0</v>
      </c>
      <c r="O853" s="10">
        <f>IF(I853="Sim",VLOOKUP("Call of Duty Pass",Parâmetros!$A$11:$B$13,2,0),0)*K853</f>
        <v>0</v>
      </c>
      <c r="P853" s="10">
        <f>(L853*K853+M853+N853+O853)*IF(F853="Promoção",1-Parâmetros!$B$22,1)</f>
        <v>513</v>
      </c>
      <c r="Q853" s="10">
        <f>Parâmetros!$B$20*K853</f>
        <v>228</v>
      </c>
      <c r="R853" s="10">
        <f>P853-Q853</f>
        <v>285</v>
      </c>
    </row>
    <row r="854" spans="1:18">
      <c r="A854">
        <v>853</v>
      </c>
      <c r="B854" s="8">
        <v>46013</v>
      </c>
      <c r="C854" t="s">
        <v>8</v>
      </c>
      <c r="D854" t="s">
        <v>46</v>
      </c>
      <c r="E854" t="s">
        <v>51</v>
      </c>
      <c r="F854" t="s">
        <v>42</v>
      </c>
      <c r="G854" t="s">
        <v>44</v>
      </c>
      <c r="H854" t="s">
        <v>44</v>
      </c>
      <c r="I854" t="s">
        <v>44</v>
      </c>
      <c r="J854" t="s">
        <v>49</v>
      </c>
      <c r="K854" s="9">
        <v>4</v>
      </c>
      <c r="L854" s="10">
        <f>IFERROR(VLOOKUP(C854,Parâmetros!$A$5:$D$7,IF(D854="Mensal",2,IF(D854="Trimestral",3,4)),0),0)</f>
        <v>21.99</v>
      </c>
      <c r="M854" s="10">
        <f>IF(G854="Sim",VLOOKUP("EA Play",Parâmetros!$A$11:$B$13,2,0),0)*K854</f>
        <v>0</v>
      </c>
      <c r="N854" s="10">
        <f>IF(H854="Sim",VLOOKUP("Minecraft Pass",Parâmetros!$A$11:$B$13,2,0),0)*K854</f>
        <v>0</v>
      </c>
      <c r="O854" s="10">
        <f>IF(I854="Sim",VLOOKUP("Call of Duty Pass",Parâmetros!$A$11:$B$13,2,0),0)*K854</f>
        <v>0</v>
      </c>
      <c r="P854" s="10">
        <f>(L854*K854+M854+N854+O854)*IF(F854="Promoção",1-Parâmetros!$B$22,1)</f>
        <v>87.96</v>
      </c>
      <c r="Q854" s="10">
        <f>Parâmetros!$B$20*K854</f>
        <v>48</v>
      </c>
      <c r="R854" s="10">
        <f>P854-Q854</f>
        <v>39.959999999999994</v>
      </c>
    </row>
    <row r="855" spans="1:18">
      <c r="A855">
        <v>854</v>
      </c>
      <c r="B855" s="8">
        <v>45475</v>
      </c>
      <c r="C855" t="s">
        <v>8</v>
      </c>
      <c r="D855" t="s">
        <v>40</v>
      </c>
      <c r="E855" t="s">
        <v>41</v>
      </c>
      <c r="F855" t="s">
        <v>54</v>
      </c>
      <c r="G855" t="s">
        <v>44</v>
      </c>
      <c r="H855" t="s">
        <v>43</v>
      </c>
      <c r="I855" t="s">
        <v>43</v>
      </c>
      <c r="J855" t="s">
        <v>49</v>
      </c>
      <c r="K855" s="9">
        <v>28</v>
      </c>
      <c r="L855" s="10">
        <f>IFERROR(VLOOKUP(C855,Parâmetros!$A$5:$D$7,IF(D855="Mensal",2,IF(D855="Trimestral",3,4)),0),0)</f>
        <v>59</v>
      </c>
      <c r="M855" s="10">
        <f>IF(G855="Sim",VLOOKUP("EA Play",Parâmetros!$A$11:$B$13,2,0),0)*K855</f>
        <v>0</v>
      </c>
      <c r="N855" s="10">
        <f>IF(H855="Sim",VLOOKUP("Minecraft Pass",Parâmetros!$A$11:$B$13,2,0),0)*K855</f>
        <v>111.72</v>
      </c>
      <c r="O855" s="10">
        <f>IF(I855="Sim",VLOOKUP("Call of Duty Pass",Parâmetros!$A$11:$B$13,2,0),0)*K855</f>
        <v>195.72</v>
      </c>
      <c r="P855" s="10">
        <f>(L855*K855+M855+N855+O855)*IF(F855="Promoção",1-Parâmetros!$B$22,1)</f>
        <v>1763.4960000000001</v>
      </c>
      <c r="Q855" s="10">
        <f>Parâmetros!$B$20*K855</f>
        <v>336</v>
      </c>
      <c r="R855" s="10">
        <f>P855-Q855</f>
        <v>1427.4960000000001</v>
      </c>
    </row>
    <row r="856" spans="1:18">
      <c r="A856">
        <v>855</v>
      </c>
      <c r="B856" s="8">
        <v>45986</v>
      </c>
      <c r="C856" t="s">
        <v>7</v>
      </c>
      <c r="D856" t="s">
        <v>46</v>
      </c>
      <c r="E856" t="s">
        <v>41</v>
      </c>
      <c r="F856" t="s">
        <v>42</v>
      </c>
      <c r="G856" t="s">
        <v>44</v>
      </c>
      <c r="H856" t="s">
        <v>43</v>
      </c>
      <c r="I856" t="s">
        <v>44</v>
      </c>
      <c r="J856" t="s">
        <v>45</v>
      </c>
      <c r="K856" s="9">
        <v>26</v>
      </c>
      <c r="L856" s="10">
        <f>IFERROR(VLOOKUP(C856,Parâmetros!$A$5:$D$7,IF(D856="Mensal",2,IF(D856="Trimestral",3,4)),0),0)</f>
        <v>14.99</v>
      </c>
      <c r="M856" s="10">
        <f>IF(G856="Sim",VLOOKUP("EA Play",Parâmetros!$A$11:$B$13,2,0),0)*K856</f>
        <v>0</v>
      </c>
      <c r="N856" s="10">
        <f>IF(H856="Sim",VLOOKUP("Minecraft Pass",Parâmetros!$A$11:$B$13,2,0),0)*K856</f>
        <v>103.74000000000001</v>
      </c>
      <c r="O856" s="10">
        <f>IF(I856="Sim",VLOOKUP("Call of Duty Pass",Parâmetros!$A$11:$B$13,2,0),0)*K856</f>
        <v>0</v>
      </c>
      <c r="P856" s="10">
        <f>(L856*K856+M856+N856+O856)*IF(F856="Promoção",1-Parâmetros!$B$22,1)</f>
        <v>493.48</v>
      </c>
      <c r="Q856" s="10">
        <f>Parâmetros!$B$20*K856</f>
        <v>312</v>
      </c>
      <c r="R856" s="10">
        <f>P856-Q856</f>
        <v>181.48000000000002</v>
      </c>
    </row>
    <row r="857" spans="1:18">
      <c r="A857">
        <v>856</v>
      </c>
      <c r="B857" s="8">
        <v>45391</v>
      </c>
      <c r="C857" t="s">
        <v>6</v>
      </c>
      <c r="D857" t="s">
        <v>40</v>
      </c>
      <c r="E857" t="s">
        <v>47</v>
      </c>
      <c r="F857" t="s">
        <v>54</v>
      </c>
      <c r="G857" t="s">
        <v>44</v>
      </c>
      <c r="H857" t="s">
        <v>44</v>
      </c>
      <c r="I857" t="s">
        <v>44</v>
      </c>
      <c r="J857" t="s">
        <v>49</v>
      </c>
      <c r="K857" s="9">
        <v>9</v>
      </c>
      <c r="L857" s="10">
        <f>IFERROR(VLOOKUP(C857,Parâmetros!$A$5:$D$7,IF(D857="Mensal",2,IF(D857="Trimestral",3,4)),0),0)</f>
        <v>27</v>
      </c>
      <c r="M857" s="10">
        <f>IF(G857="Sim",VLOOKUP("EA Play",Parâmetros!$A$11:$B$13,2,0),0)*K857</f>
        <v>0</v>
      </c>
      <c r="N857" s="10">
        <f>IF(H857="Sim",VLOOKUP("Minecraft Pass",Parâmetros!$A$11:$B$13,2,0),0)*K857</f>
        <v>0</v>
      </c>
      <c r="O857" s="10">
        <f>IF(I857="Sim",VLOOKUP("Call of Duty Pass",Parâmetros!$A$11:$B$13,2,0),0)*K857</f>
        <v>0</v>
      </c>
      <c r="P857" s="10">
        <f>(L857*K857+M857+N857+O857)*IF(F857="Promoção",1-Parâmetros!$B$22,1)</f>
        <v>218.70000000000002</v>
      </c>
      <c r="Q857" s="10">
        <f>Parâmetros!$B$20*K857</f>
        <v>108</v>
      </c>
      <c r="R857" s="10">
        <f>P857-Q857</f>
        <v>110.70000000000002</v>
      </c>
    </row>
    <row r="858" spans="1:18">
      <c r="A858">
        <v>857</v>
      </c>
      <c r="B858" s="8">
        <v>45744</v>
      </c>
      <c r="C858" t="s">
        <v>7</v>
      </c>
      <c r="D858" t="s">
        <v>46</v>
      </c>
      <c r="E858" t="s">
        <v>41</v>
      </c>
      <c r="F858" t="s">
        <v>42</v>
      </c>
      <c r="G858" t="s">
        <v>44</v>
      </c>
      <c r="H858" t="s">
        <v>44</v>
      </c>
      <c r="I858" t="s">
        <v>43</v>
      </c>
      <c r="J858" t="s">
        <v>45</v>
      </c>
      <c r="K858" s="9">
        <v>7</v>
      </c>
      <c r="L858" s="10">
        <f>IFERROR(VLOOKUP(C858,Parâmetros!$A$5:$D$7,IF(D858="Mensal",2,IF(D858="Trimestral",3,4)),0),0)</f>
        <v>14.99</v>
      </c>
      <c r="M858" s="10">
        <f>IF(G858="Sim",VLOOKUP("EA Play",Parâmetros!$A$11:$B$13,2,0),0)*K858</f>
        <v>0</v>
      </c>
      <c r="N858" s="10">
        <f>IF(H858="Sim",VLOOKUP("Minecraft Pass",Parâmetros!$A$11:$B$13,2,0),0)*K858</f>
        <v>0</v>
      </c>
      <c r="O858" s="10">
        <f>IF(I858="Sim",VLOOKUP("Call of Duty Pass",Parâmetros!$A$11:$B$13,2,0),0)*K858</f>
        <v>48.93</v>
      </c>
      <c r="P858" s="10">
        <f>(L858*K858+M858+N858+O858)*IF(F858="Promoção",1-Parâmetros!$B$22,1)</f>
        <v>153.86000000000001</v>
      </c>
      <c r="Q858" s="10">
        <f>Parâmetros!$B$20*K858</f>
        <v>84</v>
      </c>
      <c r="R858" s="10">
        <f>P858-Q858</f>
        <v>69.860000000000014</v>
      </c>
    </row>
    <row r="859" spans="1:18">
      <c r="A859">
        <v>858</v>
      </c>
      <c r="B859" s="8">
        <v>45986</v>
      </c>
      <c r="C859" t="s">
        <v>8</v>
      </c>
      <c r="D859" t="s">
        <v>50</v>
      </c>
      <c r="E859" t="s">
        <v>41</v>
      </c>
      <c r="F859" t="s">
        <v>54</v>
      </c>
      <c r="G859" t="s">
        <v>44</v>
      </c>
      <c r="H859" t="s">
        <v>43</v>
      </c>
      <c r="I859" t="s">
        <v>43</v>
      </c>
      <c r="J859" t="s">
        <v>49</v>
      </c>
      <c r="K859" s="9">
        <v>31</v>
      </c>
      <c r="L859" s="10">
        <f>IFERROR(VLOOKUP(C859,Parâmetros!$A$5:$D$7,IF(D859="Mensal",2,IF(D859="Trimestral",3,4)),0),0)</f>
        <v>219</v>
      </c>
      <c r="M859" s="10">
        <f>IF(G859="Sim",VLOOKUP("EA Play",Parâmetros!$A$11:$B$13,2,0),0)*K859</f>
        <v>0</v>
      </c>
      <c r="N859" s="10">
        <f>IF(H859="Sim",VLOOKUP("Minecraft Pass",Parâmetros!$A$11:$B$13,2,0),0)*K859</f>
        <v>123.69000000000001</v>
      </c>
      <c r="O859" s="10">
        <f>IF(I859="Sim",VLOOKUP("Call of Duty Pass",Parâmetros!$A$11:$B$13,2,0),0)*K859</f>
        <v>216.69</v>
      </c>
      <c r="P859" s="10">
        <f>(L859*K859+M859+N859+O859)*IF(F859="Promoção",1-Parâmetros!$B$22,1)</f>
        <v>6416.4419999999991</v>
      </c>
      <c r="Q859" s="10">
        <f>Parâmetros!$B$20*K859</f>
        <v>372</v>
      </c>
      <c r="R859" s="10">
        <f>P859-Q859</f>
        <v>6044.4419999999991</v>
      </c>
    </row>
    <row r="860" spans="1:18">
      <c r="A860">
        <v>859</v>
      </c>
      <c r="B860" s="8">
        <v>45475</v>
      </c>
      <c r="C860" t="s">
        <v>8</v>
      </c>
      <c r="D860" t="s">
        <v>46</v>
      </c>
      <c r="E860" t="s">
        <v>47</v>
      </c>
      <c r="F860" t="s">
        <v>42</v>
      </c>
      <c r="G860" t="s">
        <v>43</v>
      </c>
      <c r="H860" t="s">
        <v>43</v>
      </c>
      <c r="I860" t="s">
        <v>44</v>
      </c>
      <c r="J860" t="s">
        <v>49</v>
      </c>
      <c r="K860" s="9">
        <v>8</v>
      </c>
      <c r="L860" s="10">
        <f>IFERROR(VLOOKUP(C860,Parâmetros!$A$5:$D$7,IF(D860="Mensal",2,IF(D860="Trimestral",3,4)),0),0)</f>
        <v>21.99</v>
      </c>
      <c r="M860" s="10">
        <f>IF(G860="Sim",VLOOKUP("EA Play",Parâmetros!$A$11:$B$13,2,0),0)*K860</f>
        <v>39.92</v>
      </c>
      <c r="N860" s="10">
        <f>IF(H860="Sim",VLOOKUP("Minecraft Pass",Parâmetros!$A$11:$B$13,2,0),0)*K860</f>
        <v>31.92</v>
      </c>
      <c r="O860" s="10">
        <f>IF(I860="Sim",VLOOKUP("Call of Duty Pass",Parâmetros!$A$11:$B$13,2,0),0)*K860</f>
        <v>0</v>
      </c>
      <c r="P860" s="10">
        <f>(L860*K860+M860+N860+O860)*IF(F860="Promoção",1-Parâmetros!$B$22,1)</f>
        <v>247.76</v>
      </c>
      <c r="Q860" s="10">
        <f>Parâmetros!$B$20*K860</f>
        <v>96</v>
      </c>
      <c r="R860" s="10">
        <f>P860-Q860</f>
        <v>151.76</v>
      </c>
    </row>
    <row r="861" spans="1:18">
      <c r="A861">
        <v>860</v>
      </c>
      <c r="B861" s="8">
        <v>45538</v>
      </c>
      <c r="C861" t="s">
        <v>6</v>
      </c>
      <c r="D861" t="s">
        <v>46</v>
      </c>
      <c r="E861" t="s">
        <v>47</v>
      </c>
      <c r="F861" t="s">
        <v>42</v>
      </c>
      <c r="G861" t="s">
        <v>44</v>
      </c>
      <c r="H861" t="s">
        <v>44</v>
      </c>
      <c r="I861" t="s">
        <v>44</v>
      </c>
      <c r="J861" t="s">
        <v>45</v>
      </c>
      <c r="K861" s="9">
        <v>6</v>
      </c>
      <c r="L861" s="10">
        <f>IFERROR(VLOOKUP(C861,Parâmetros!$A$5:$D$7,IF(D861="Mensal",2,IF(D861="Trimestral",3,4)),0),0)</f>
        <v>9.99</v>
      </c>
      <c r="M861" s="10">
        <f>IF(G861="Sim",VLOOKUP("EA Play",Parâmetros!$A$11:$B$13,2,0),0)*K861</f>
        <v>0</v>
      </c>
      <c r="N861" s="10">
        <f>IF(H861="Sim",VLOOKUP("Minecraft Pass",Parâmetros!$A$11:$B$13,2,0),0)*K861</f>
        <v>0</v>
      </c>
      <c r="O861" s="10">
        <f>IF(I861="Sim",VLOOKUP("Call of Duty Pass",Parâmetros!$A$11:$B$13,2,0),0)*K861</f>
        <v>0</v>
      </c>
      <c r="P861" s="10">
        <f>(L861*K861+M861+N861+O861)*IF(F861="Promoção",1-Parâmetros!$B$22,1)</f>
        <v>59.94</v>
      </c>
      <c r="Q861" s="10">
        <f>Parâmetros!$B$20*K861</f>
        <v>72</v>
      </c>
      <c r="R861" s="10">
        <f>P861-Q861</f>
        <v>-12.060000000000002</v>
      </c>
    </row>
    <row r="862" spans="1:18">
      <c r="A862">
        <v>861</v>
      </c>
      <c r="B862" s="8">
        <v>45766</v>
      </c>
      <c r="C862" t="s">
        <v>8</v>
      </c>
      <c r="D862" t="s">
        <v>40</v>
      </c>
      <c r="E862" t="s">
        <v>41</v>
      </c>
      <c r="F862" t="s">
        <v>52</v>
      </c>
      <c r="G862" t="s">
        <v>43</v>
      </c>
      <c r="H862" t="s">
        <v>43</v>
      </c>
      <c r="I862" t="s">
        <v>43</v>
      </c>
      <c r="J862" t="s">
        <v>49</v>
      </c>
      <c r="K862" s="9">
        <v>33</v>
      </c>
      <c r="L862" s="10">
        <f>IFERROR(VLOOKUP(C862,Parâmetros!$A$5:$D$7,IF(D862="Mensal",2,IF(D862="Trimestral",3,4)),0),0)</f>
        <v>59</v>
      </c>
      <c r="M862" s="10">
        <f>IF(G862="Sim",VLOOKUP("EA Play",Parâmetros!$A$11:$B$13,2,0),0)*K862</f>
        <v>164.67000000000002</v>
      </c>
      <c r="N862" s="10">
        <f>IF(H862="Sim",VLOOKUP("Minecraft Pass",Parâmetros!$A$11:$B$13,2,0),0)*K862</f>
        <v>131.67000000000002</v>
      </c>
      <c r="O862" s="10">
        <f>IF(I862="Sim",VLOOKUP("Call of Duty Pass",Parâmetros!$A$11:$B$13,2,0),0)*K862</f>
        <v>230.67000000000002</v>
      </c>
      <c r="P862" s="10">
        <f>(L862*K862+M862+N862+O862)*IF(F862="Promoção",1-Parâmetros!$B$22,1)</f>
        <v>2474.0100000000002</v>
      </c>
      <c r="Q862" s="10">
        <f>Parâmetros!$B$20*K862</f>
        <v>396</v>
      </c>
      <c r="R862" s="10">
        <f>P862-Q862</f>
        <v>2078.0100000000002</v>
      </c>
    </row>
    <row r="863" spans="1:18">
      <c r="A863">
        <v>862</v>
      </c>
      <c r="B863" s="8">
        <v>45522</v>
      </c>
      <c r="C863" t="s">
        <v>6</v>
      </c>
      <c r="D863" t="s">
        <v>40</v>
      </c>
      <c r="E863" t="s">
        <v>47</v>
      </c>
      <c r="F863" t="s">
        <v>42</v>
      </c>
      <c r="G863" t="s">
        <v>44</v>
      </c>
      <c r="H863" t="s">
        <v>44</v>
      </c>
      <c r="I863" t="s">
        <v>43</v>
      </c>
      <c r="J863" t="s">
        <v>49</v>
      </c>
      <c r="K863" s="9">
        <v>28</v>
      </c>
      <c r="L863" s="10">
        <f>IFERROR(VLOOKUP(C863,Parâmetros!$A$5:$D$7,IF(D863="Mensal",2,IF(D863="Trimestral",3,4)),0),0)</f>
        <v>27</v>
      </c>
      <c r="M863" s="10">
        <f>IF(G863="Sim",VLOOKUP("EA Play",Parâmetros!$A$11:$B$13,2,0),0)*K863</f>
        <v>0</v>
      </c>
      <c r="N863" s="10">
        <f>IF(H863="Sim",VLOOKUP("Minecraft Pass",Parâmetros!$A$11:$B$13,2,0),0)*K863</f>
        <v>0</v>
      </c>
      <c r="O863" s="10">
        <f>IF(I863="Sim",VLOOKUP("Call of Duty Pass",Parâmetros!$A$11:$B$13,2,0),0)*K863</f>
        <v>195.72</v>
      </c>
      <c r="P863" s="10">
        <f>(L863*K863+M863+N863+O863)*IF(F863="Promoção",1-Parâmetros!$B$22,1)</f>
        <v>951.72</v>
      </c>
      <c r="Q863" s="10">
        <f>Parâmetros!$B$20*K863</f>
        <v>336</v>
      </c>
      <c r="R863" s="10">
        <f>P863-Q863</f>
        <v>615.72</v>
      </c>
    </row>
    <row r="864" spans="1:18">
      <c r="A864">
        <v>863</v>
      </c>
      <c r="B864" s="8">
        <v>45597</v>
      </c>
      <c r="C864" t="s">
        <v>7</v>
      </c>
      <c r="D864" t="s">
        <v>46</v>
      </c>
      <c r="E864" t="s">
        <v>41</v>
      </c>
      <c r="F864" t="s">
        <v>54</v>
      </c>
      <c r="G864" t="s">
        <v>44</v>
      </c>
      <c r="H864" t="s">
        <v>43</v>
      </c>
      <c r="I864" t="s">
        <v>44</v>
      </c>
      <c r="J864" t="s">
        <v>49</v>
      </c>
      <c r="K864" s="9">
        <v>35</v>
      </c>
      <c r="L864" s="10">
        <f>IFERROR(VLOOKUP(C864,Parâmetros!$A$5:$D$7,IF(D864="Mensal",2,IF(D864="Trimestral",3,4)),0),0)</f>
        <v>14.99</v>
      </c>
      <c r="M864" s="10">
        <f>IF(G864="Sim",VLOOKUP("EA Play",Parâmetros!$A$11:$B$13,2,0),0)*K864</f>
        <v>0</v>
      </c>
      <c r="N864" s="10">
        <f>IF(H864="Sim",VLOOKUP("Minecraft Pass",Parâmetros!$A$11:$B$13,2,0),0)*K864</f>
        <v>139.65</v>
      </c>
      <c r="O864" s="10">
        <f>IF(I864="Sim",VLOOKUP("Call of Duty Pass",Parâmetros!$A$11:$B$13,2,0),0)*K864</f>
        <v>0</v>
      </c>
      <c r="P864" s="10">
        <f>(L864*K864+M864+N864+O864)*IF(F864="Promoção",1-Parâmetros!$B$22,1)</f>
        <v>597.87</v>
      </c>
      <c r="Q864" s="10">
        <f>Parâmetros!$B$20*K864</f>
        <v>420</v>
      </c>
      <c r="R864" s="10">
        <f>P864-Q864</f>
        <v>177.87</v>
      </c>
    </row>
    <row r="865" spans="1:18">
      <c r="A865">
        <v>864</v>
      </c>
      <c r="B865" s="8">
        <v>45834</v>
      </c>
      <c r="C865" t="s">
        <v>7</v>
      </c>
      <c r="D865" t="s">
        <v>40</v>
      </c>
      <c r="E865" t="s">
        <v>47</v>
      </c>
      <c r="F865" t="s">
        <v>52</v>
      </c>
      <c r="G865" t="s">
        <v>44</v>
      </c>
      <c r="H865" t="s">
        <v>43</v>
      </c>
      <c r="I865" t="s">
        <v>44</v>
      </c>
      <c r="J865" t="s">
        <v>45</v>
      </c>
      <c r="K865" s="9">
        <v>8</v>
      </c>
      <c r="L865" s="10">
        <f>IFERROR(VLOOKUP(C865,Parâmetros!$A$5:$D$7,IF(D865="Mensal",2,IF(D865="Trimestral",3,4)),0),0)</f>
        <v>40</v>
      </c>
      <c r="M865" s="10">
        <f>IF(G865="Sim",VLOOKUP("EA Play",Parâmetros!$A$11:$B$13,2,0),0)*K865</f>
        <v>0</v>
      </c>
      <c r="N865" s="10">
        <f>IF(H865="Sim",VLOOKUP("Minecraft Pass",Parâmetros!$A$11:$B$13,2,0),0)*K865</f>
        <v>31.92</v>
      </c>
      <c r="O865" s="10">
        <f>IF(I865="Sim",VLOOKUP("Call of Duty Pass",Parâmetros!$A$11:$B$13,2,0),0)*K865</f>
        <v>0</v>
      </c>
      <c r="P865" s="10">
        <f>(L865*K865+M865+N865+O865)*IF(F865="Promoção",1-Parâmetros!$B$22,1)</f>
        <v>351.92</v>
      </c>
      <c r="Q865" s="10">
        <f>Parâmetros!$B$20*K865</f>
        <v>96</v>
      </c>
      <c r="R865" s="10">
        <f>P865-Q865</f>
        <v>255.92000000000002</v>
      </c>
    </row>
    <row r="866" spans="1:18">
      <c r="A866">
        <v>865</v>
      </c>
      <c r="B866" s="8">
        <v>45477</v>
      </c>
      <c r="C866" t="s">
        <v>8</v>
      </c>
      <c r="D866" t="s">
        <v>40</v>
      </c>
      <c r="E866" t="s">
        <v>41</v>
      </c>
      <c r="F866" t="s">
        <v>48</v>
      </c>
      <c r="G866" t="s">
        <v>43</v>
      </c>
      <c r="H866" t="s">
        <v>43</v>
      </c>
      <c r="I866" t="s">
        <v>44</v>
      </c>
      <c r="J866" t="s">
        <v>45</v>
      </c>
      <c r="K866" s="9">
        <v>6</v>
      </c>
      <c r="L866" s="10">
        <f>IFERROR(VLOOKUP(C866,Parâmetros!$A$5:$D$7,IF(D866="Mensal",2,IF(D866="Trimestral",3,4)),0),0)</f>
        <v>59</v>
      </c>
      <c r="M866" s="10">
        <f>IF(G866="Sim",VLOOKUP("EA Play",Parâmetros!$A$11:$B$13,2,0),0)*K866</f>
        <v>29.94</v>
      </c>
      <c r="N866" s="10">
        <f>IF(H866="Sim",VLOOKUP("Minecraft Pass",Parâmetros!$A$11:$B$13,2,0),0)*K866</f>
        <v>23.94</v>
      </c>
      <c r="O866" s="10">
        <f>IF(I866="Sim",VLOOKUP("Call of Duty Pass",Parâmetros!$A$11:$B$13,2,0),0)*K866</f>
        <v>0</v>
      </c>
      <c r="P866" s="10">
        <f>(L866*K866+M866+N866+O866)*IF(F866="Promoção",1-Parâmetros!$B$22,1)</f>
        <v>407.88</v>
      </c>
      <c r="Q866" s="10">
        <f>Parâmetros!$B$20*K866</f>
        <v>72</v>
      </c>
      <c r="R866" s="10">
        <f>P866-Q866</f>
        <v>335.88</v>
      </c>
    </row>
    <row r="867" spans="1:18">
      <c r="A867">
        <v>866</v>
      </c>
      <c r="B867" s="8">
        <v>45867</v>
      </c>
      <c r="C867" t="s">
        <v>6</v>
      </c>
      <c r="D867" t="s">
        <v>40</v>
      </c>
      <c r="E867" t="s">
        <v>41</v>
      </c>
      <c r="F867" t="s">
        <v>42</v>
      </c>
      <c r="G867" t="s">
        <v>43</v>
      </c>
      <c r="H867" t="s">
        <v>44</v>
      </c>
      <c r="I867" t="s">
        <v>43</v>
      </c>
      <c r="J867" t="s">
        <v>45</v>
      </c>
      <c r="K867" s="9">
        <v>1</v>
      </c>
      <c r="L867" s="10">
        <f>IFERROR(VLOOKUP(C867,Parâmetros!$A$5:$D$7,IF(D867="Mensal",2,IF(D867="Trimestral",3,4)),0),0)</f>
        <v>27</v>
      </c>
      <c r="M867" s="10">
        <f>IF(G867="Sim",VLOOKUP("EA Play",Parâmetros!$A$11:$B$13,2,0),0)*K867</f>
        <v>4.99</v>
      </c>
      <c r="N867" s="10">
        <f>IF(H867="Sim",VLOOKUP("Minecraft Pass",Parâmetros!$A$11:$B$13,2,0),0)*K867</f>
        <v>0</v>
      </c>
      <c r="O867" s="10">
        <f>IF(I867="Sim",VLOOKUP("Call of Duty Pass",Parâmetros!$A$11:$B$13,2,0),0)*K867</f>
        <v>6.99</v>
      </c>
      <c r="P867" s="10">
        <f>(L867*K867+M867+N867+O867)*IF(F867="Promoção",1-Parâmetros!$B$22,1)</f>
        <v>38.980000000000004</v>
      </c>
      <c r="Q867" s="10">
        <f>Parâmetros!$B$20*K867</f>
        <v>12</v>
      </c>
      <c r="R867" s="10">
        <f>P867-Q867</f>
        <v>26.980000000000004</v>
      </c>
    </row>
    <row r="868" spans="1:18">
      <c r="A868">
        <v>867</v>
      </c>
      <c r="B868" s="8">
        <v>45546</v>
      </c>
      <c r="C868" t="s">
        <v>6</v>
      </c>
      <c r="D868" t="s">
        <v>50</v>
      </c>
      <c r="E868" t="s">
        <v>47</v>
      </c>
      <c r="F868" t="s">
        <v>52</v>
      </c>
      <c r="G868" t="s">
        <v>44</v>
      </c>
      <c r="H868" t="s">
        <v>44</v>
      </c>
      <c r="I868" t="s">
        <v>44</v>
      </c>
      <c r="J868" t="s">
        <v>45</v>
      </c>
      <c r="K868" s="9">
        <v>34</v>
      </c>
      <c r="L868" s="10">
        <f>IFERROR(VLOOKUP(C868,Parâmetros!$A$5:$D$7,IF(D868="Mensal",2,IF(D868="Trimestral",3,4)),0),0)</f>
        <v>99</v>
      </c>
      <c r="M868" s="10">
        <f>IF(G868="Sim",VLOOKUP("EA Play",Parâmetros!$A$11:$B$13,2,0),0)*K868</f>
        <v>0</v>
      </c>
      <c r="N868" s="10">
        <f>IF(H868="Sim",VLOOKUP("Minecraft Pass",Parâmetros!$A$11:$B$13,2,0),0)*K868</f>
        <v>0</v>
      </c>
      <c r="O868" s="10">
        <f>IF(I868="Sim",VLOOKUP("Call of Duty Pass",Parâmetros!$A$11:$B$13,2,0),0)*K868</f>
        <v>0</v>
      </c>
      <c r="P868" s="10">
        <f>(L868*K868+M868+N868+O868)*IF(F868="Promoção",1-Parâmetros!$B$22,1)</f>
        <v>3366</v>
      </c>
      <c r="Q868" s="10">
        <f>Parâmetros!$B$20*K868</f>
        <v>408</v>
      </c>
      <c r="R868" s="10">
        <f>P868-Q868</f>
        <v>2958</v>
      </c>
    </row>
    <row r="869" spans="1:18">
      <c r="A869">
        <v>868</v>
      </c>
      <c r="B869" s="8">
        <v>45652</v>
      </c>
      <c r="C869" t="s">
        <v>7</v>
      </c>
      <c r="D869" t="s">
        <v>40</v>
      </c>
      <c r="E869" t="s">
        <v>51</v>
      </c>
      <c r="F869" t="s">
        <v>52</v>
      </c>
      <c r="G869" t="s">
        <v>43</v>
      </c>
      <c r="H869" t="s">
        <v>43</v>
      </c>
      <c r="I869" t="s">
        <v>43</v>
      </c>
      <c r="J869" t="s">
        <v>45</v>
      </c>
      <c r="K869" s="9">
        <v>14</v>
      </c>
      <c r="L869" s="10">
        <f>IFERROR(VLOOKUP(C869,Parâmetros!$A$5:$D$7,IF(D869="Mensal",2,IF(D869="Trimestral",3,4)),0),0)</f>
        <v>40</v>
      </c>
      <c r="M869" s="10">
        <f>IF(G869="Sim",VLOOKUP("EA Play",Parâmetros!$A$11:$B$13,2,0),0)*K869</f>
        <v>69.86</v>
      </c>
      <c r="N869" s="10">
        <f>IF(H869="Sim",VLOOKUP("Minecraft Pass",Parâmetros!$A$11:$B$13,2,0),0)*K869</f>
        <v>55.86</v>
      </c>
      <c r="O869" s="10">
        <f>IF(I869="Sim",VLOOKUP("Call of Duty Pass",Parâmetros!$A$11:$B$13,2,0),0)*K869</f>
        <v>97.86</v>
      </c>
      <c r="P869" s="10">
        <f>(L869*K869+M869+N869+O869)*IF(F869="Promoção",1-Parâmetros!$B$22,1)</f>
        <v>783.58</v>
      </c>
      <c r="Q869" s="10">
        <f>Parâmetros!$B$20*K869</f>
        <v>168</v>
      </c>
      <c r="R869" s="10">
        <f>P869-Q869</f>
        <v>615.58000000000004</v>
      </c>
    </row>
    <row r="870" spans="1:18">
      <c r="A870">
        <v>869</v>
      </c>
      <c r="B870" s="8">
        <v>45429</v>
      </c>
      <c r="C870" t="s">
        <v>7</v>
      </c>
      <c r="D870" t="s">
        <v>46</v>
      </c>
      <c r="E870" t="s">
        <v>41</v>
      </c>
      <c r="F870" t="s">
        <v>42</v>
      </c>
      <c r="G870" t="s">
        <v>44</v>
      </c>
      <c r="H870" t="s">
        <v>43</v>
      </c>
      <c r="I870" t="s">
        <v>43</v>
      </c>
      <c r="J870" t="s">
        <v>49</v>
      </c>
      <c r="K870" s="9">
        <v>11</v>
      </c>
      <c r="L870" s="10">
        <f>IFERROR(VLOOKUP(C870,Parâmetros!$A$5:$D$7,IF(D870="Mensal",2,IF(D870="Trimestral",3,4)),0),0)</f>
        <v>14.99</v>
      </c>
      <c r="M870" s="10">
        <f>IF(G870="Sim",VLOOKUP("EA Play",Parâmetros!$A$11:$B$13,2,0),0)*K870</f>
        <v>0</v>
      </c>
      <c r="N870" s="10">
        <f>IF(H870="Sim",VLOOKUP("Minecraft Pass",Parâmetros!$A$11:$B$13,2,0),0)*K870</f>
        <v>43.89</v>
      </c>
      <c r="O870" s="10">
        <f>IF(I870="Sim",VLOOKUP("Call of Duty Pass",Parâmetros!$A$11:$B$13,2,0),0)*K870</f>
        <v>76.89</v>
      </c>
      <c r="P870" s="10">
        <f>(L870*K870+M870+N870+O870)*IF(F870="Promoção",1-Parâmetros!$B$22,1)</f>
        <v>285.67</v>
      </c>
      <c r="Q870" s="10">
        <f>Parâmetros!$B$20*K870</f>
        <v>132</v>
      </c>
      <c r="R870" s="10">
        <f>P870-Q870</f>
        <v>153.67000000000002</v>
      </c>
    </row>
    <row r="871" spans="1:18">
      <c r="A871">
        <v>870</v>
      </c>
      <c r="B871" s="8">
        <v>45701</v>
      </c>
      <c r="C871" t="s">
        <v>7</v>
      </c>
      <c r="D871" t="s">
        <v>50</v>
      </c>
      <c r="E871" t="s">
        <v>51</v>
      </c>
      <c r="F871" t="s">
        <v>54</v>
      </c>
      <c r="G871" t="s">
        <v>43</v>
      </c>
      <c r="H871" t="s">
        <v>43</v>
      </c>
      <c r="I871" t="s">
        <v>44</v>
      </c>
      <c r="J871" t="s">
        <v>49</v>
      </c>
      <c r="K871" s="9">
        <v>13</v>
      </c>
      <c r="L871" s="10">
        <f>IFERROR(VLOOKUP(C871,Parâmetros!$A$5:$D$7,IF(D871="Mensal",2,IF(D871="Trimestral",3,4)),0),0)</f>
        <v>149</v>
      </c>
      <c r="M871" s="10">
        <f>IF(G871="Sim",VLOOKUP("EA Play",Parâmetros!$A$11:$B$13,2,0),0)*K871</f>
        <v>64.87</v>
      </c>
      <c r="N871" s="10">
        <f>IF(H871="Sim",VLOOKUP("Minecraft Pass",Parâmetros!$A$11:$B$13,2,0),0)*K871</f>
        <v>51.870000000000005</v>
      </c>
      <c r="O871" s="10">
        <f>IF(I871="Sim",VLOOKUP("Call of Duty Pass",Parâmetros!$A$11:$B$13,2,0),0)*K871</f>
        <v>0</v>
      </c>
      <c r="P871" s="10">
        <f>(L871*K871+M871+N871+O871)*IF(F871="Promoção",1-Parâmetros!$B$22,1)</f>
        <v>1848.3659999999998</v>
      </c>
      <c r="Q871" s="10">
        <f>Parâmetros!$B$20*K871</f>
        <v>156</v>
      </c>
      <c r="R871" s="10">
        <f>P871-Q871</f>
        <v>1692.3659999999998</v>
      </c>
    </row>
    <row r="872" spans="1:18">
      <c r="A872">
        <v>871</v>
      </c>
      <c r="B872" s="8">
        <v>45673</v>
      </c>
      <c r="C872" t="s">
        <v>7</v>
      </c>
      <c r="D872" t="s">
        <v>40</v>
      </c>
      <c r="E872" t="s">
        <v>47</v>
      </c>
      <c r="F872" t="s">
        <v>42</v>
      </c>
      <c r="G872" t="s">
        <v>44</v>
      </c>
      <c r="H872" t="s">
        <v>43</v>
      </c>
      <c r="I872" t="s">
        <v>44</v>
      </c>
      <c r="J872" t="s">
        <v>49</v>
      </c>
      <c r="K872" s="9">
        <v>16</v>
      </c>
      <c r="L872" s="10">
        <f>IFERROR(VLOOKUP(C872,Parâmetros!$A$5:$D$7,IF(D872="Mensal",2,IF(D872="Trimestral",3,4)),0),0)</f>
        <v>40</v>
      </c>
      <c r="M872" s="10">
        <f>IF(G872="Sim",VLOOKUP("EA Play",Parâmetros!$A$11:$B$13,2,0),0)*K872</f>
        <v>0</v>
      </c>
      <c r="N872" s="10">
        <f>IF(H872="Sim",VLOOKUP("Minecraft Pass",Parâmetros!$A$11:$B$13,2,0),0)*K872</f>
        <v>63.84</v>
      </c>
      <c r="O872" s="10">
        <f>IF(I872="Sim",VLOOKUP("Call of Duty Pass",Parâmetros!$A$11:$B$13,2,0),0)*K872</f>
        <v>0</v>
      </c>
      <c r="P872" s="10">
        <f>(L872*K872+M872+N872+O872)*IF(F872="Promoção",1-Parâmetros!$B$22,1)</f>
        <v>703.84</v>
      </c>
      <c r="Q872" s="10">
        <f>Parâmetros!$B$20*K872</f>
        <v>192</v>
      </c>
      <c r="R872" s="10">
        <f>P872-Q872</f>
        <v>511.84000000000003</v>
      </c>
    </row>
    <row r="873" spans="1:18">
      <c r="A873">
        <v>872</v>
      </c>
      <c r="B873" s="8">
        <v>45371</v>
      </c>
      <c r="C873" t="s">
        <v>6</v>
      </c>
      <c r="D873" t="s">
        <v>40</v>
      </c>
      <c r="E873" t="s">
        <v>51</v>
      </c>
      <c r="F873" t="s">
        <v>48</v>
      </c>
      <c r="G873" t="s">
        <v>43</v>
      </c>
      <c r="H873" t="s">
        <v>43</v>
      </c>
      <c r="I873" t="s">
        <v>44</v>
      </c>
      <c r="J873" t="s">
        <v>45</v>
      </c>
      <c r="K873" s="9">
        <v>10</v>
      </c>
      <c r="L873" s="10">
        <f>IFERROR(VLOOKUP(C873,Parâmetros!$A$5:$D$7,IF(D873="Mensal",2,IF(D873="Trimestral",3,4)),0),0)</f>
        <v>27</v>
      </c>
      <c r="M873" s="10">
        <f>IF(G873="Sim",VLOOKUP("EA Play",Parâmetros!$A$11:$B$13,2,0),0)*K873</f>
        <v>49.900000000000006</v>
      </c>
      <c r="N873" s="10">
        <f>IF(H873="Sim",VLOOKUP("Minecraft Pass",Parâmetros!$A$11:$B$13,2,0),0)*K873</f>
        <v>39.900000000000006</v>
      </c>
      <c r="O873" s="10">
        <f>IF(I873="Sim",VLOOKUP("Call of Duty Pass",Parâmetros!$A$11:$B$13,2,0),0)*K873</f>
        <v>0</v>
      </c>
      <c r="P873" s="10">
        <f>(L873*K873+M873+N873+O873)*IF(F873="Promoção",1-Parâmetros!$B$22,1)</f>
        <v>359.79999999999995</v>
      </c>
      <c r="Q873" s="10">
        <f>Parâmetros!$B$20*K873</f>
        <v>120</v>
      </c>
      <c r="R873" s="10">
        <f>P873-Q873</f>
        <v>239.79999999999995</v>
      </c>
    </row>
    <row r="874" spans="1:18">
      <c r="A874">
        <v>873</v>
      </c>
      <c r="B874" s="8">
        <v>45523</v>
      </c>
      <c r="C874" t="s">
        <v>6</v>
      </c>
      <c r="D874" t="s">
        <v>46</v>
      </c>
      <c r="E874" t="s">
        <v>53</v>
      </c>
      <c r="F874" t="s">
        <v>42</v>
      </c>
      <c r="G874" t="s">
        <v>44</v>
      </c>
      <c r="H874" t="s">
        <v>44</v>
      </c>
      <c r="I874" t="s">
        <v>43</v>
      </c>
      <c r="J874" t="s">
        <v>49</v>
      </c>
      <c r="K874" s="9">
        <v>20</v>
      </c>
      <c r="L874" s="10">
        <f>IFERROR(VLOOKUP(C874,Parâmetros!$A$5:$D$7,IF(D874="Mensal",2,IF(D874="Trimestral",3,4)),0),0)</f>
        <v>9.99</v>
      </c>
      <c r="M874" s="10">
        <f>IF(G874="Sim",VLOOKUP("EA Play",Parâmetros!$A$11:$B$13,2,0),0)*K874</f>
        <v>0</v>
      </c>
      <c r="N874" s="10">
        <f>IF(H874="Sim",VLOOKUP("Minecraft Pass",Parâmetros!$A$11:$B$13,2,0),0)*K874</f>
        <v>0</v>
      </c>
      <c r="O874" s="10">
        <f>IF(I874="Sim",VLOOKUP("Call of Duty Pass",Parâmetros!$A$11:$B$13,2,0),0)*K874</f>
        <v>139.80000000000001</v>
      </c>
      <c r="P874" s="10">
        <f>(L874*K874+M874+N874+O874)*IF(F874="Promoção",1-Parâmetros!$B$22,1)</f>
        <v>339.6</v>
      </c>
      <c r="Q874" s="10">
        <f>Parâmetros!$B$20*K874</f>
        <v>240</v>
      </c>
      <c r="R874" s="10">
        <f>P874-Q874</f>
        <v>99.600000000000023</v>
      </c>
    </row>
    <row r="875" spans="1:18">
      <c r="A875">
        <v>874</v>
      </c>
      <c r="B875" s="8">
        <v>45894</v>
      </c>
      <c r="C875" t="s">
        <v>8</v>
      </c>
      <c r="D875" t="s">
        <v>46</v>
      </c>
      <c r="E875" t="s">
        <v>47</v>
      </c>
      <c r="F875" t="s">
        <v>52</v>
      </c>
      <c r="G875" t="s">
        <v>44</v>
      </c>
      <c r="H875" t="s">
        <v>44</v>
      </c>
      <c r="I875" t="s">
        <v>44</v>
      </c>
      <c r="J875" t="s">
        <v>45</v>
      </c>
      <c r="K875" s="9">
        <v>11</v>
      </c>
      <c r="L875" s="10">
        <f>IFERROR(VLOOKUP(C875,Parâmetros!$A$5:$D$7,IF(D875="Mensal",2,IF(D875="Trimestral",3,4)),0),0)</f>
        <v>21.99</v>
      </c>
      <c r="M875" s="10">
        <f>IF(G875="Sim",VLOOKUP("EA Play",Parâmetros!$A$11:$B$13,2,0),0)*K875</f>
        <v>0</v>
      </c>
      <c r="N875" s="10">
        <f>IF(H875="Sim",VLOOKUP("Minecraft Pass",Parâmetros!$A$11:$B$13,2,0),0)*K875</f>
        <v>0</v>
      </c>
      <c r="O875" s="10">
        <f>IF(I875="Sim",VLOOKUP("Call of Duty Pass",Parâmetros!$A$11:$B$13,2,0),0)*K875</f>
        <v>0</v>
      </c>
      <c r="P875" s="10">
        <f>(L875*K875+M875+N875+O875)*IF(F875="Promoção",1-Parâmetros!$B$22,1)</f>
        <v>241.89</v>
      </c>
      <c r="Q875" s="10">
        <f>Parâmetros!$B$20*K875</f>
        <v>132</v>
      </c>
      <c r="R875" s="10">
        <f>P875-Q875</f>
        <v>109.88999999999999</v>
      </c>
    </row>
    <row r="876" spans="1:18">
      <c r="A876">
        <v>875</v>
      </c>
      <c r="B876" s="8">
        <v>45617</v>
      </c>
      <c r="C876" t="s">
        <v>8</v>
      </c>
      <c r="D876" t="s">
        <v>46</v>
      </c>
      <c r="E876" t="s">
        <v>41</v>
      </c>
      <c r="F876" t="s">
        <v>52</v>
      </c>
      <c r="G876" t="s">
        <v>44</v>
      </c>
      <c r="H876" t="s">
        <v>44</v>
      </c>
      <c r="I876" t="s">
        <v>44</v>
      </c>
      <c r="J876" t="s">
        <v>45</v>
      </c>
      <c r="K876" s="9">
        <v>31</v>
      </c>
      <c r="L876" s="10">
        <f>IFERROR(VLOOKUP(C876,Parâmetros!$A$5:$D$7,IF(D876="Mensal",2,IF(D876="Trimestral",3,4)),0),0)</f>
        <v>21.99</v>
      </c>
      <c r="M876" s="10">
        <f>IF(G876="Sim",VLOOKUP("EA Play",Parâmetros!$A$11:$B$13,2,0),0)*K876</f>
        <v>0</v>
      </c>
      <c r="N876" s="10">
        <f>IF(H876="Sim",VLOOKUP("Minecraft Pass",Parâmetros!$A$11:$B$13,2,0),0)*K876</f>
        <v>0</v>
      </c>
      <c r="O876" s="10">
        <f>IF(I876="Sim",VLOOKUP("Call of Duty Pass",Parâmetros!$A$11:$B$13,2,0),0)*K876</f>
        <v>0</v>
      </c>
      <c r="P876" s="10">
        <f>(L876*K876+M876+N876+O876)*IF(F876="Promoção",1-Parâmetros!$B$22,1)</f>
        <v>681.68999999999994</v>
      </c>
      <c r="Q876" s="10">
        <f>Parâmetros!$B$20*K876</f>
        <v>372</v>
      </c>
      <c r="R876" s="10">
        <f>P876-Q876</f>
        <v>309.68999999999994</v>
      </c>
    </row>
    <row r="877" spans="1:18">
      <c r="A877">
        <v>876</v>
      </c>
      <c r="B877" s="8">
        <v>45898</v>
      </c>
      <c r="C877" t="s">
        <v>6</v>
      </c>
      <c r="D877" t="s">
        <v>46</v>
      </c>
      <c r="E877" t="s">
        <v>47</v>
      </c>
      <c r="F877" t="s">
        <v>42</v>
      </c>
      <c r="G877" t="s">
        <v>43</v>
      </c>
      <c r="H877" t="s">
        <v>43</v>
      </c>
      <c r="I877" t="s">
        <v>44</v>
      </c>
      <c r="J877" t="s">
        <v>49</v>
      </c>
      <c r="K877" s="9">
        <v>24</v>
      </c>
      <c r="L877" s="10">
        <f>IFERROR(VLOOKUP(C877,Parâmetros!$A$5:$D$7,IF(D877="Mensal",2,IF(D877="Trimestral",3,4)),0),0)</f>
        <v>9.99</v>
      </c>
      <c r="M877" s="10">
        <f>IF(G877="Sim",VLOOKUP("EA Play",Parâmetros!$A$11:$B$13,2,0),0)*K877</f>
        <v>119.76</v>
      </c>
      <c r="N877" s="10">
        <f>IF(H877="Sim",VLOOKUP("Minecraft Pass",Parâmetros!$A$11:$B$13,2,0),0)*K877</f>
        <v>95.76</v>
      </c>
      <c r="O877" s="10">
        <f>IF(I877="Sim",VLOOKUP("Call of Duty Pass",Parâmetros!$A$11:$B$13,2,0),0)*K877</f>
        <v>0</v>
      </c>
      <c r="P877" s="10">
        <f>(L877*K877+M877+N877+O877)*IF(F877="Promoção",1-Parâmetros!$B$22,1)</f>
        <v>455.28</v>
      </c>
      <c r="Q877" s="10">
        <f>Parâmetros!$B$20*K877</f>
        <v>288</v>
      </c>
      <c r="R877" s="10">
        <f>P877-Q877</f>
        <v>167.27999999999997</v>
      </c>
    </row>
    <row r="878" spans="1:18">
      <c r="A878">
        <v>877</v>
      </c>
      <c r="B878" s="8">
        <v>46016</v>
      </c>
      <c r="C878" t="s">
        <v>8</v>
      </c>
      <c r="D878" t="s">
        <v>40</v>
      </c>
      <c r="E878" t="s">
        <v>41</v>
      </c>
      <c r="F878" t="s">
        <v>48</v>
      </c>
      <c r="G878" t="s">
        <v>43</v>
      </c>
      <c r="H878" t="s">
        <v>43</v>
      </c>
      <c r="I878" t="s">
        <v>44</v>
      </c>
      <c r="J878" t="s">
        <v>49</v>
      </c>
      <c r="K878" s="9">
        <v>28</v>
      </c>
      <c r="L878" s="10">
        <f>IFERROR(VLOOKUP(C878,Parâmetros!$A$5:$D$7,IF(D878="Mensal",2,IF(D878="Trimestral",3,4)),0),0)</f>
        <v>59</v>
      </c>
      <c r="M878" s="10">
        <f>IF(G878="Sim",VLOOKUP("EA Play",Parâmetros!$A$11:$B$13,2,0),0)*K878</f>
        <v>139.72</v>
      </c>
      <c r="N878" s="10">
        <f>IF(H878="Sim",VLOOKUP("Minecraft Pass",Parâmetros!$A$11:$B$13,2,0),0)*K878</f>
        <v>111.72</v>
      </c>
      <c r="O878" s="10">
        <f>IF(I878="Sim",VLOOKUP("Call of Duty Pass",Parâmetros!$A$11:$B$13,2,0),0)*K878</f>
        <v>0</v>
      </c>
      <c r="P878" s="10">
        <f>(L878*K878+M878+N878+O878)*IF(F878="Promoção",1-Parâmetros!$B$22,1)</f>
        <v>1903.44</v>
      </c>
      <c r="Q878" s="10">
        <f>Parâmetros!$B$20*K878</f>
        <v>336</v>
      </c>
      <c r="R878" s="10">
        <f>P878-Q878</f>
        <v>1567.44</v>
      </c>
    </row>
    <row r="879" spans="1:18">
      <c r="A879">
        <v>878</v>
      </c>
      <c r="B879" s="8">
        <v>45825</v>
      </c>
      <c r="C879" t="s">
        <v>8</v>
      </c>
      <c r="D879" t="s">
        <v>50</v>
      </c>
      <c r="E879" t="s">
        <v>51</v>
      </c>
      <c r="F879" t="s">
        <v>42</v>
      </c>
      <c r="G879" t="s">
        <v>44</v>
      </c>
      <c r="H879" t="s">
        <v>44</v>
      </c>
      <c r="I879" t="s">
        <v>44</v>
      </c>
      <c r="J879" t="s">
        <v>49</v>
      </c>
      <c r="K879" s="9">
        <v>6</v>
      </c>
      <c r="L879" s="10">
        <f>IFERROR(VLOOKUP(C879,Parâmetros!$A$5:$D$7,IF(D879="Mensal",2,IF(D879="Trimestral",3,4)),0),0)</f>
        <v>219</v>
      </c>
      <c r="M879" s="10">
        <f>IF(G879="Sim",VLOOKUP("EA Play",Parâmetros!$A$11:$B$13,2,0),0)*K879</f>
        <v>0</v>
      </c>
      <c r="N879" s="10">
        <f>IF(H879="Sim",VLOOKUP("Minecraft Pass",Parâmetros!$A$11:$B$13,2,0),0)*K879</f>
        <v>0</v>
      </c>
      <c r="O879" s="10">
        <f>IF(I879="Sim",VLOOKUP("Call of Duty Pass",Parâmetros!$A$11:$B$13,2,0),0)*K879</f>
        <v>0</v>
      </c>
      <c r="P879" s="10">
        <f>(L879*K879+M879+N879+O879)*IF(F879="Promoção",1-Parâmetros!$B$22,1)</f>
        <v>1314</v>
      </c>
      <c r="Q879" s="10">
        <f>Parâmetros!$B$20*K879</f>
        <v>72</v>
      </c>
      <c r="R879" s="10">
        <f>P879-Q879</f>
        <v>1242</v>
      </c>
    </row>
    <row r="880" spans="1:18">
      <c r="A880">
        <v>879</v>
      </c>
      <c r="B880" s="8">
        <v>45941</v>
      </c>
      <c r="C880" t="s">
        <v>6</v>
      </c>
      <c r="D880" t="s">
        <v>40</v>
      </c>
      <c r="E880" t="s">
        <v>53</v>
      </c>
      <c r="F880" t="s">
        <v>42</v>
      </c>
      <c r="G880" t="s">
        <v>43</v>
      </c>
      <c r="H880" t="s">
        <v>44</v>
      </c>
      <c r="I880" t="s">
        <v>44</v>
      </c>
      <c r="J880" t="s">
        <v>49</v>
      </c>
      <c r="K880" s="9">
        <v>1</v>
      </c>
      <c r="L880" s="10">
        <f>IFERROR(VLOOKUP(C880,Parâmetros!$A$5:$D$7,IF(D880="Mensal",2,IF(D880="Trimestral",3,4)),0),0)</f>
        <v>27</v>
      </c>
      <c r="M880" s="10">
        <f>IF(G880="Sim",VLOOKUP("EA Play",Parâmetros!$A$11:$B$13,2,0),0)*K880</f>
        <v>4.99</v>
      </c>
      <c r="N880" s="10">
        <f>IF(H880="Sim",VLOOKUP("Minecraft Pass",Parâmetros!$A$11:$B$13,2,0),0)*K880</f>
        <v>0</v>
      </c>
      <c r="O880" s="10">
        <f>IF(I880="Sim",VLOOKUP("Call of Duty Pass",Parâmetros!$A$11:$B$13,2,0),0)*K880</f>
        <v>0</v>
      </c>
      <c r="P880" s="10">
        <f>(L880*K880+M880+N880+O880)*IF(F880="Promoção",1-Parâmetros!$B$22,1)</f>
        <v>31.990000000000002</v>
      </c>
      <c r="Q880" s="10">
        <f>Parâmetros!$B$20*K880</f>
        <v>12</v>
      </c>
      <c r="R880" s="10">
        <f>P880-Q880</f>
        <v>19.990000000000002</v>
      </c>
    </row>
    <row r="881" spans="1:18">
      <c r="A881">
        <v>880</v>
      </c>
      <c r="B881" s="8">
        <v>45726</v>
      </c>
      <c r="C881" t="s">
        <v>7</v>
      </c>
      <c r="D881" t="s">
        <v>50</v>
      </c>
      <c r="E881" t="s">
        <v>41</v>
      </c>
      <c r="F881" t="s">
        <v>48</v>
      </c>
      <c r="G881" t="s">
        <v>44</v>
      </c>
      <c r="H881" t="s">
        <v>44</v>
      </c>
      <c r="I881" t="s">
        <v>44</v>
      </c>
      <c r="J881" t="s">
        <v>49</v>
      </c>
      <c r="K881" s="9">
        <v>1</v>
      </c>
      <c r="L881" s="10">
        <f>IFERROR(VLOOKUP(C881,Parâmetros!$A$5:$D$7,IF(D881="Mensal",2,IF(D881="Trimestral",3,4)),0),0)</f>
        <v>149</v>
      </c>
      <c r="M881" s="10">
        <f>IF(G881="Sim",VLOOKUP("EA Play",Parâmetros!$A$11:$B$13,2,0),0)*K881</f>
        <v>0</v>
      </c>
      <c r="N881" s="10">
        <f>IF(H881="Sim",VLOOKUP("Minecraft Pass",Parâmetros!$A$11:$B$13,2,0),0)*K881</f>
        <v>0</v>
      </c>
      <c r="O881" s="10">
        <f>IF(I881="Sim",VLOOKUP("Call of Duty Pass",Parâmetros!$A$11:$B$13,2,0),0)*K881</f>
        <v>0</v>
      </c>
      <c r="P881" s="10">
        <f>(L881*K881+M881+N881+O881)*IF(F881="Promoção",1-Parâmetros!$B$22,1)</f>
        <v>149</v>
      </c>
      <c r="Q881" s="10">
        <f>Parâmetros!$B$20*K881</f>
        <v>12</v>
      </c>
      <c r="R881" s="10">
        <f>P881-Q881</f>
        <v>137</v>
      </c>
    </row>
    <row r="882" spans="1:18">
      <c r="A882">
        <v>881</v>
      </c>
      <c r="B882" s="8">
        <v>45923</v>
      </c>
      <c r="C882" t="s">
        <v>6</v>
      </c>
      <c r="D882" t="s">
        <v>50</v>
      </c>
      <c r="E882" t="s">
        <v>41</v>
      </c>
      <c r="F882" t="s">
        <v>48</v>
      </c>
      <c r="G882" t="s">
        <v>44</v>
      </c>
      <c r="H882" t="s">
        <v>43</v>
      </c>
      <c r="I882" t="s">
        <v>44</v>
      </c>
      <c r="J882" t="s">
        <v>45</v>
      </c>
      <c r="K882" s="9">
        <v>34</v>
      </c>
      <c r="L882" s="10">
        <f>IFERROR(VLOOKUP(C882,Parâmetros!$A$5:$D$7,IF(D882="Mensal",2,IF(D882="Trimestral",3,4)),0),0)</f>
        <v>99</v>
      </c>
      <c r="M882" s="10">
        <f>IF(G882="Sim",VLOOKUP("EA Play",Parâmetros!$A$11:$B$13,2,0),0)*K882</f>
        <v>0</v>
      </c>
      <c r="N882" s="10">
        <f>IF(H882="Sim",VLOOKUP("Minecraft Pass",Parâmetros!$A$11:$B$13,2,0),0)*K882</f>
        <v>135.66</v>
      </c>
      <c r="O882" s="10">
        <f>IF(I882="Sim",VLOOKUP("Call of Duty Pass",Parâmetros!$A$11:$B$13,2,0),0)*K882</f>
        <v>0</v>
      </c>
      <c r="P882" s="10">
        <f>(L882*K882+M882+N882+O882)*IF(F882="Promoção",1-Parâmetros!$B$22,1)</f>
        <v>3501.66</v>
      </c>
      <c r="Q882" s="10">
        <f>Parâmetros!$B$20*K882</f>
        <v>408</v>
      </c>
      <c r="R882" s="10">
        <f>P882-Q882</f>
        <v>3093.66</v>
      </c>
    </row>
    <row r="883" spans="1:18">
      <c r="A883">
        <v>882</v>
      </c>
      <c r="B883" s="8">
        <v>45992</v>
      </c>
      <c r="C883" t="s">
        <v>7</v>
      </c>
      <c r="D883" t="s">
        <v>40</v>
      </c>
      <c r="E883" t="s">
        <v>53</v>
      </c>
      <c r="F883" t="s">
        <v>52</v>
      </c>
      <c r="G883" t="s">
        <v>44</v>
      </c>
      <c r="H883" t="s">
        <v>44</v>
      </c>
      <c r="I883" t="s">
        <v>43</v>
      </c>
      <c r="J883" t="s">
        <v>49</v>
      </c>
      <c r="K883" s="9">
        <v>9</v>
      </c>
      <c r="L883" s="10">
        <f>IFERROR(VLOOKUP(C883,Parâmetros!$A$5:$D$7,IF(D883="Mensal",2,IF(D883="Trimestral",3,4)),0),0)</f>
        <v>40</v>
      </c>
      <c r="M883" s="10">
        <f>IF(G883="Sim",VLOOKUP("EA Play",Parâmetros!$A$11:$B$13,2,0),0)*K883</f>
        <v>0</v>
      </c>
      <c r="N883" s="10">
        <f>IF(H883="Sim",VLOOKUP("Minecraft Pass",Parâmetros!$A$11:$B$13,2,0),0)*K883</f>
        <v>0</v>
      </c>
      <c r="O883" s="10">
        <f>IF(I883="Sim",VLOOKUP("Call of Duty Pass",Parâmetros!$A$11:$B$13,2,0),0)*K883</f>
        <v>62.910000000000004</v>
      </c>
      <c r="P883" s="10">
        <f>(L883*K883+M883+N883+O883)*IF(F883="Promoção",1-Parâmetros!$B$22,1)</f>
        <v>422.91</v>
      </c>
      <c r="Q883" s="10">
        <f>Parâmetros!$B$20*K883</f>
        <v>108</v>
      </c>
      <c r="R883" s="10">
        <f>P883-Q883</f>
        <v>314.91000000000003</v>
      </c>
    </row>
    <row r="884" spans="1:18">
      <c r="A884">
        <v>883</v>
      </c>
      <c r="B884" s="8">
        <v>45818</v>
      </c>
      <c r="C884" t="s">
        <v>6</v>
      </c>
      <c r="D884" t="s">
        <v>46</v>
      </c>
      <c r="E884" t="s">
        <v>47</v>
      </c>
      <c r="F884" t="s">
        <v>42</v>
      </c>
      <c r="G884" t="s">
        <v>44</v>
      </c>
      <c r="H884" t="s">
        <v>43</v>
      </c>
      <c r="I884" t="s">
        <v>44</v>
      </c>
      <c r="J884" t="s">
        <v>45</v>
      </c>
      <c r="K884" s="9">
        <v>8</v>
      </c>
      <c r="L884" s="10">
        <f>IFERROR(VLOOKUP(C884,Parâmetros!$A$5:$D$7,IF(D884="Mensal",2,IF(D884="Trimestral",3,4)),0),0)</f>
        <v>9.99</v>
      </c>
      <c r="M884" s="10">
        <f>IF(G884="Sim",VLOOKUP("EA Play",Parâmetros!$A$11:$B$13,2,0),0)*K884</f>
        <v>0</v>
      </c>
      <c r="N884" s="10">
        <f>IF(H884="Sim",VLOOKUP("Minecraft Pass",Parâmetros!$A$11:$B$13,2,0),0)*K884</f>
        <v>31.92</v>
      </c>
      <c r="O884" s="10">
        <f>IF(I884="Sim",VLOOKUP("Call of Duty Pass",Parâmetros!$A$11:$B$13,2,0),0)*K884</f>
        <v>0</v>
      </c>
      <c r="P884" s="10">
        <f>(L884*K884+M884+N884+O884)*IF(F884="Promoção",1-Parâmetros!$B$22,1)</f>
        <v>111.84</v>
      </c>
      <c r="Q884" s="10">
        <f>Parâmetros!$B$20*K884</f>
        <v>96</v>
      </c>
      <c r="R884" s="10">
        <f>P884-Q884</f>
        <v>15.840000000000003</v>
      </c>
    </row>
    <row r="885" spans="1:18">
      <c r="A885">
        <v>884</v>
      </c>
      <c r="B885" s="8">
        <v>45589</v>
      </c>
      <c r="C885" t="s">
        <v>6</v>
      </c>
      <c r="D885" t="s">
        <v>46</v>
      </c>
      <c r="E885" t="s">
        <v>41</v>
      </c>
      <c r="F885" t="s">
        <v>52</v>
      </c>
      <c r="G885" t="s">
        <v>44</v>
      </c>
      <c r="H885" t="s">
        <v>43</v>
      </c>
      <c r="I885" t="s">
        <v>44</v>
      </c>
      <c r="J885" t="s">
        <v>45</v>
      </c>
      <c r="K885" s="9">
        <v>33</v>
      </c>
      <c r="L885" s="10">
        <f>IFERROR(VLOOKUP(C885,Parâmetros!$A$5:$D$7,IF(D885="Mensal",2,IF(D885="Trimestral",3,4)),0),0)</f>
        <v>9.99</v>
      </c>
      <c r="M885" s="10">
        <f>IF(G885="Sim",VLOOKUP("EA Play",Parâmetros!$A$11:$B$13,2,0),0)*K885</f>
        <v>0</v>
      </c>
      <c r="N885" s="10">
        <f>IF(H885="Sim",VLOOKUP("Minecraft Pass",Parâmetros!$A$11:$B$13,2,0),0)*K885</f>
        <v>131.67000000000002</v>
      </c>
      <c r="O885" s="10">
        <f>IF(I885="Sim",VLOOKUP("Call of Duty Pass",Parâmetros!$A$11:$B$13,2,0),0)*K885</f>
        <v>0</v>
      </c>
      <c r="P885" s="10">
        <f>(L885*K885+M885+N885+O885)*IF(F885="Promoção",1-Parâmetros!$B$22,1)</f>
        <v>461.34000000000003</v>
      </c>
      <c r="Q885" s="10">
        <f>Parâmetros!$B$20*K885</f>
        <v>396</v>
      </c>
      <c r="R885" s="10">
        <f>P885-Q885</f>
        <v>65.340000000000032</v>
      </c>
    </row>
    <row r="886" spans="1:18">
      <c r="A886">
        <v>885</v>
      </c>
      <c r="B886" s="8">
        <v>45328</v>
      </c>
      <c r="C886" t="s">
        <v>8</v>
      </c>
      <c r="D886" t="s">
        <v>50</v>
      </c>
      <c r="E886" t="s">
        <v>55</v>
      </c>
      <c r="F886" t="s">
        <v>42</v>
      </c>
      <c r="G886" t="s">
        <v>43</v>
      </c>
      <c r="H886" t="s">
        <v>44</v>
      </c>
      <c r="I886" t="s">
        <v>43</v>
      </c>
      <c r="J886" t="s">
        <v>49</v>
      </c>
      <c r="K886" s="9">
        <v>23</v>
      </c>
      <c r="L886" s="10">
        <f>IFERROR(VLOOKUP(C886,Parâmetros!$A$5:$D$7,IF(D886="Mensal",2,IF(D886="Trimestral",3,4)),0),0)</f>
        <v>219</v>
      </c>
      <c r="M886" s="10">
        <f>IF(G886="Sim",VLOOKUP("EA Play",Parâmetros!$A$11:$B$13,2,0),0)*K886</f>
        <v>114.77000000000001</v>
      </c>
      <c r="N886" s="10">
        <f>IF(H886="Sim",VLOOKUP("Minecraft Pass",Parâmetros!$A$11:$B$13,2,0),0)*K886</f>
        <v>0</v>
      </c>
      <c r="O886" s="10">
        <f>IF(I886="Sim",VLOOKUP("Call of Duty Pass",Parâmetros!$A$11:$B$13,2,0),0)*K886</f>
        <v>160.77000000000001</v>
      </c>
      <c r="P886" s="10">
        <f>(L886*K886+M886+N886+O886)*IF(F886="Promoção",1-Parâmetros!$B$22,1)</f>
        <v>5312.5400000000009</v>
      </c>
      <c r="Q886" s="10">
        <f>Parâmetros!$B$20*K886</f>
        <v>276</v>
      </c>
      <c r="R886" s="10">
        <f>P886-Q886</f>
        <v>5036.5400000000009</v>
      </c>
    </row>
    <row r="887" spans="1:18">
      <c r="A887">
        <v>886</v>
      </c>
      <c r="B887" s="8">
        <v>45482</v>
      </c>
      <c r="C887" t="s">
        <v>7</v>
      </c>
      <c r="D887" t="s">
        <v>46</v>
      </c>
      <c r="E887" t="s">
        <v>47</v>
      </c>
      <c r="F887" t="s">
        <v>42</v>
      </c>
      <c r="G887" t="s">
        <v>44</v>
      </c>
      <c r="H887" t="s">
        <v>44</v>
      </c>
      <c r="I887" t="s">
        <v>44</v>
      </c>
      <c r="J887" t="s">
        <v>45</v>
      </c>
      <c r="K887" s="9">
        <v>1</v>
      </c>
      <c r="L887" s="10">
        <f>IFERROR(VLOOKUP(C887,Parâmetros!$A$5:$D$7,IF(D887="Mensal",2,IF(D887="Trimestral",3,4)),0),0)</f>
        <v>14.99</v>
      </c>
      <c r="M887" s="10">
        <f>IF(G887="Sim",VLOOKUP("EA Play",Parâmetros!$A$11:$B$13,2,0),0)*K887</f>
        <v>0</v>
      </c>
      <c r="N887" s="10">
        <f>IF(H887="Sim",VLOOKUP("Minecraft Pass",Parâmetros!$A$11:$B$13,2,0),0)*K887</f>
        <v>0</v>
      </c>
      <c r="O887" s="10">
        <f>IF(I887="Sim",VLOOKUP("Call of Duty Pass",Parâmetros!$A$11:$B$13,2,0),0)*K887</f>
        <v>0</v>
      </c>
      <c r="P887" s="10">
        <f>(L887*K887+M887+N887+O887)*IF(F887="Promoção",1-Parâmetros!$B$22,1)</f>
        <v>14.99</v>
      </c>
      <c r="Q887" s="10">
        <f>Parâmetros!$B$20*K887</f>
        <v>12</v>
      </c>
      <c r="R887" s="10">
        <f>P887-Q887</f>
        <v>2.99</v>
      </c>
    </row>
    <row r="888" spans="1:18">
      <c r="A888">
        <v>887</v>
      </c>
      <c r="B888" s="8">
        <v>45451</v>
      </c>
      <c r="C888" t="s">
        <v>8</v>
      </c>
      <c r="D888" t="s">
        <v>46</v>
      </c>
      <c r="E888" t="s">
        <v>47</v>
      </c>
      <c r="F888" t="s">
        <v>42</v>
      </c>
      <c r="G888" t="s">
        <v>43</v>
      </c>
      <c r="H888" t="s">
        <v>44</v>
      </c>
      <c r="I888" t="s">
        <v>44</v>
      </c>
      <c r="J888" t="s">
        <v>49</v>
      </c>
      <c r="K888" s="9">
        <v>29</v>
      </c>
      <c r="L888" s="10">
        <f>IFERROR(VLOOKUP(C888,Parâmetros!$A$5:$D$7,IF(D888="Mensal",2,IF(D888="Trimestral",3,4)),0),0)</f>
        <v>21.99</v>
      </c>
      <c r="M888" s="10">
        <f>IF(G888="Sim",VLOOKUP("EA Play",Parâmetros!$A$11:$B$13,2,0),0)*K888</f>
        <v>144.71</v>
      </c>
      <c r="N888" s="10">
        <f>IF(H888="Sim",VLOOKUP("Minecraft Pass",Parâmetros!$A$11:$B$13,2,0),0)*K888</f>
        <v>0</v>
      </c>
      <c r="O888" s="10">
        <f>IF(I888="Sim",VLOOKUP("Call of Duty Pass",Parâmetros!$A$11:$B$13,2,0),0)*K888</f>
        <v>0</v>
      </c>
      <c r="P888" s="10">
        <f>(L888*K888+M888+N888+O888)*IF(F888="Promoção",1-Parâmetros!$B$22,1)</f>
        <v>782.42</v>
      </c>
      <c r="Q888" s="10">
        <f>Parâmetros!$B$20*K888</f>
        <v>348</v>
      </c>
      <c r="R888" s="10">
        <f>P888-Q888</f>
        <v>434.41999999999996</v>
      </c>
    </row>
    <row r="889" spans="1:18">
      <c r="A889">
        <v>888</v>
      </c>
      <c r="B889" s="8">
        <v>45964</v>
      </c>
      <c r="C889" t="s">
        <v>8</v>
      </c>
      <c r="D889" t="s">
        <v>46</v>
      </c>
      <c r="E889" t="s">
        <v>41</v>
      </c>
      <c r="F889" t="s">
        <v>48</v>
      </c>
      <c r="G889" t="s">
        <v>43</v>
      </c>
      <c r="H889" t="s">
        <v>44</v>
      </c>
      <c r="I889" t="s">
        <v>43</v>
      </c>
      <c r="J889" t="s">
        <v>49</v>
      </c>
      <c r="K889" s="9">
        <v>3</v>
      </c>
      <c r="L889" s="10">
        <f>IFERROR(VLOOKUP(C889,Parâmetros!$A$5:$D$7,IF(D889="Mensal",2,IF(D889="Trimestral",3,4)),0),0)</f>
        <v>21.99</v>
      </c>
      <c r="M889" s="10">
        <f>IF(G889="Sim",VLOOKUP("EA Play",Parâmetros!$A$11:$B$13,2,0),0)*K889</f>
        <v>14.97</v>
      </c>
      <c r="N889" s="10">
        <f>IF(H889="Sim",VLOOKUP("Minecraft Pass",Parâmetros!$A$11:$B$13,2,0),0)*K889</f>
        <v>0</v>
      </c>
      <c r="O889" s="10">
        <f>IF(I889="Sim",VLOOKUP("Call of Duty Pass",Parâmetros!$A$11:$B$13,2,0),0)*K889</f>
        <v>20.97</v>
      </c>
      <c r="P889" s="10">
        <f>(L889*K889+M889+N889+O889)*IF(F889="Promoção",1-Parâmetros!$B$22,1)</f>
        <v>101.91</v>
      </c>
      <c r="Q889" s="10">
        <f>Parâmetros!$B$20*K889</f>
        <v>36</v>
      </c>
      <c r="R889" s="10">
        <f>P889-Q889</f>
        <v>65.91</v>
      </c>
    </row>
    <row r="890" spans="1:18">
      <c r="A890">
        <v>889</v>
      </c>
      <c r="B890" s="8">
        <v>45428</v>
      </c>
      <c r="C890" t="s">
        <v>6</v>
      </c>
      <c r="D890" t="s">
        <v>40</v>
      </c>
      <c r="E890" t="s">
        <v>55</v>
      </c>
      <c r="F890" t="s">
        <v>42</v>
      </c>
      <c r="G890" t="s">
        <v>43</v>
      </c>
      <c r="H890" t="s">
        <v>44</v>
      </c>
      <c r="I890" t="s">
        <v>44</v>
      </c>
      <c r="J890" t="s">
        <v>49</v>
      </c>
      <c r="K890" s="9">
        <v>27</v>
      </c>
      <c r="L890" s="10">
        <f>IFERROR(VLOOKUP(C890,Parâmetros!$A$5:$D$7,IF(D890="Mensal",2,IF(D890="Trimestral",3,4)),0),0)</f>
        <v>27</v>
      </c>
      <c r="M890" s="10">
        <f>IF(G890="Sim",VLOOKUP("EA Play",Parâmetros!$A$11:$B$13,2,0),0)*K890</f>
        <v>134.73000000000002</v>
      </c>
      <c r="N890" s="10">
        <f>IF(H890="Sim",VLOOKUP("Minecraft Pass",Parâmetros!$A$11:$B$13,2,0),0)*K890</f>
        <v>0</v>
      </c>
      <c r="O890" s="10">
        <f>IF(I890="Sim",VLOOKUP("Call of Duty Pass",Parâmetros!$A$11:$B$13,2,0),0)*K890</f>
        <v>0</v>
      </c>
      <c r="P890" s="10">
        <f>(L890*K890+M890+N890+O890)*IF(F890="Promoção",1-Parâmetros!$B$22,1)</f>
        <v>863.73</v>
      </c>
      <c r="Q890" s="10">
        <f>Parâmetros!$B$20*K890</f>
        <v>324</v>
      </c>
      <c r="R890" s="10">
        <f>P890-Q890</f>
        <v>539.73</v>
      </c>
    </row>
    <row r="891" spans="1:18">
      <c r="A891">
        <v>890</v>
      </c>
      <c r="B891" s="8">
        <v>45792</v>
      </c>
      <c r="C891" t="s">
        <v>7</v>
      </c>
      <c r="D891" t="s">
        <v>40</v>
      </c>
      <c r="E891" t="s">
        <v>51</v>
      </c>
      <c r="F891" t="s">
        <v>42</v>
      </c>
      <c r="G891" t="s">
        <v>44</v>
      </c>
      <c r="H891" t="s">
        <v>44</v>
      </c>
      <c r="I891" t="s">
        <v>44</v>
      </c>
      <c r="J891" t="s">
        <v>45</v>
      </c>
      <c r="K891" s="9">
        <v>25</v>
      </c>
      <c r="L891" s="10">
        <f>IFERROR(VLOOKUP(C891,Parâmetros!$A$5:$D$7,IF(D891="Mensal",2,IF(D891="Trimestral",3,4)),0),0)</f>
        <v>40</v>
      </c>
      <c r="M891" s="10">
        <f>IF(G891="Sim",VLOOKUP("EA Play",Parâmetros!$A$11:$B$13,2,0),0)*K891</f>
        <v>0</v>
      </c>
      <c r="N891" s="10">
        <f>IF(H891="Sim",VLOOKUP("Minecraft Pass",Parâmetros!$A$11:$B$13,2,0),0)*K891</f>
        <v>0</v>
      </c>
      <c r="O891" s="10">
        <f>IF(I891="Sim",VLOOKUP("Call of Duty Pass",Parâmetros!$A$11:$B$13,2,0),0)*K891</f>
        <v>0</v>
      </c>
      <c r="P891" s="10">
        <f>(L891*K891+M891+N891+O891)*IF(F891="Promoção",1-Parâmetros!$B$22,1)</f>
        <v>1000</v>
      </c>
      <c r="Q891" s="10">
        <f>Parâmetros!$B$20*K891</f>
        <v>300</v>
      </c>
      <c r="R891" s="10">
        <f>P891-Q891</f>
        <v>700</v>
      </c>
    </row>
    <row r="892" spans="1:18">
      <c r="A892">
        <v>891</v>
      </c>
      <c r="B892" s="8">
        <v>45426</v>
      </c>
      <c r="C892" t="s">
        <v>6</v>
      </c>
      <c r="D892" t="s">
        <v>46</v>
      </c>
      <c r="E892" t="s">
        <v>41</v>
      </c>
      <c r="F892" t="s">
        <v>42</v>
      </c>
      <c r="G892" t="s">
        <v>44</v>
      </c>
      <c r="H892" t="s">
        <v>44</v>
      </c>
      <c r="I892" t="s">
        <v>43</v>
      </c>
      <c r="J892" t="s">
        <v>45</v>
      </c>
      <c r="K892" s="9">
        <v>22</v>
      </c>
      <c r="L892" s="10">
        <f>IFERROR(VLOOKUP(C892,Parâmetros!$A$5:$D$7,IF(D892="Mensal",2,IF(D892="Trimestral",3,4)),0),0)</f>
        <v>9.99</v>
      </c>
      <c r="M892" s="10">
        <f>IF(G892="Sim",VLOOKUP("EA Play",Parâmetros!$A$11:$B$13,2,0),0)*K892</f>
        <v>0</v>
      </c>
      <c r="N892" s="10">
        <f>IF(H892="Sim",VLOOKUP("Minecraft Pass",Parâmetros!$A$11:$B$13,2,0),0)*K892</f>
        <v>0</v>
      </c>
      <c r="O892" s="10">
        <f>IF(I892="Sim",VLOOKUP("Call of Duty Pass",Parâmetros!$A$11:$B$13,2,0),0)*K892</f>
        <v>153.78</v>
      </c>
      <c r="P892" s="10">
        <f>(L892*K892+M892+N892+O892)*IF(F892="Promoção",1-Parâmetros!$B$22,1)</f>
        <v>373.56</v>
      </c>
      <c r="Q892" s="10">
        <f>Parâmetros!$B$20*K892</f>
        <v>264</v>
      </c>
      <c r="R892" s="10">
        <f>P892-Q892</f>
        <v>109.56</v>
      </c>
    </row>
    <row r="893" spans="1:18">
      <c r="A893">
        <v>892</v>
      </c>
      <c r="B893" s="8">
        <v>45731</v>
      </c>
      <c r="C893" t="s">
        <v>8</v>
      </c>
      <c r="D893" t="s">
        <v>40</v>
      </c>
      <c r="E893" t="s">
        <v>47</v>
      </c>
      <c r="F893" t="s">
        <v>42</v>
      </c>
      <c r="G893" t="s">
        <v>44</v>
      </c>
      <c r="H893" t="s">
        <v>44</v>
      </c>
      <c r="I893" t="s">
        <v>43</v>
      </c>
      <c r="J893" t="s">
        <v>49</v>
      </c>
      <c r="K893" s="9">
        <v>33</v>
      </c>
      <c r="L893" s="10">
        <f>IFERROR(VLOOKUP(C893,Parâmetros!$A$5:$D$7,IF(D893="Mensal",2,IF(D893="Trimestral",3,4)),0),0)</f>
        <v>59</v>
      </c>
      <c r="M893" s="10">
        <f>IF(G893="Sim",VLOOKUP("EA Play",Parâmetros!$A$11:$B$13,2,0),0)*K893</f>
        <v>0</v>
      </c>
      <c r="N893" s="10">
        <f>IF(H893="Sim",VLOOKUP("Minecraft Pass",Parâmetros!$A$11:$B$13,2,0),0)*K893</f>
        <v>0</v>
      </c>
      <c r="O893" s="10">
        <f>IF(I893="Sim",VLOOKUP("Call of Duty Pass",Parâmetros!$A$11:$B$13,2,0),0)*K893</f>
        <v>230.67000000000002</v>
      </c>
      <c r="P893" s="10">
        <f>(L893*K893+M893+N893+O893)*IF(F893="Promoção",1-Parâmetros!$B$22,1)</f>
        <v>2177.67</v>
      </c>
      <c r="Q893" s="10">
        <f>Parâmetros!$B$20*K893</f>
        <v>396</v>
      </c>
      <c r="R893" s="10">
        <f>P893-Q893</f>
        <v>1781.67</v>
      </c>
    </row>
    <row r="894" spans="1:18">
      <c r="A894">
        <v>893</v>
      </c>
      <c r="B894" s="8">
        <v>45483</v>
      </c>
      <c r="C894" t="s">
        <v>6</v>
      </c>
      <c r="D894" t="s">
        <v>40</v>
      </c>
      <c r="E894" t="s">
        <v>55</v>
      </c>
      <c r="F894" t="s">
        <v>54</v>
      </c>
      <c r="G894" t="s">
        <v>43</v>
      </c>
      <c r="H894" t="s">
        <v>44</v>
      </c>
      <c r="I894" t="s">
        <v>43</v>
      </c>
      <c r="J894" t="s">
        <v>45</v>
      </c>
      <c r="K894" s="9">
        <v>7</v>
      </c>
      <c r="L894" s="10">
        <f>IFERROR(VLOOKUP(C894,Parâmetros!$A$5:$D$7,IF(D894="Mensal",2,IF(D894="Trimestral",3,4)),0),0)</f>
        <v>27</v>
      </c>
      <c r="M894" s="10">
        <f>IF(G894="Sim",VLOOKUP("EA Play",Parâmetros!$A$11:$B$13,2,0),0)*K894</f>
        <v>34.93</v>
      </c>
      <c r="N894" s="10">
        <f>IF(H894="Sim",VLOOKUP("Minecraft Pass",Parâmetros!$A$11:$B$13,2,0),0)*K894</f>
        <v>0</v>
      </c>
      <c r="O894" s="10">
        <f>IF(I894="Sim",VLOOKUP("Call of Duty Pass",Parâmetros!$A$11:$B$13,2,0),0)*K894</f>
        <v>48.93</v>
      </c>
      <c r="P894" s="10">
        <f>(L894*K894+M894+N894+O894)*IF(F894="Promoção",1-Parâmetros!$B$22,1)</f>
        <v>245.57400000000001</v>
      </c>
      <c r="Q894" s="10">
        <f>Parâmetros!$B$20*K894</f>
        <v>84</v>
      </c>
      <c r="R894" s="10">
        <f>P894-Q894</f>
        <v>161.57400000000001</v>
      </c>
    </row>
    <row r="895" spans="1:18">
      <c r="A895">
        <v>894</v>
      </c>
      <c r="B895" s="8">
        <v>46009</v>
      </c>
      <c r="C895" t="s">
        <v>7</v>
      </c>
      <c r="D895" t="s">
        <v>40</v>
      </c>
      <c r="E895" t="s">
        <v>41</v>
      </c>
      <c r="F895" t="s">
        <v>54</v>
      </c>
      <c r="G895" t="s">
        <v>44</v>
      </c>
      <c r="H895" t="s">
        <v>43</v>
      </c>
      <c r="I895" t="s">
        <v>43</v>
      </c>
      <c r="J895" t="s">
        <v>49</v>
      </c>
      <c r="K895" s="9">
        <v>18</v>
      </c>
      <c r="L895" s="10">
        <f>IFERROR(VLOOKUP(C895,Parâmetros!$A$5:$D$7,IF(D895="Mensal",2,IF(D895="Trimestral",3,4)),0),0)</f>
        <v>40</v>
      </c>
      <c r="M895" s="10">
        <f>IF(G895="Sim",VLOOKUP("EA Play",Parâmetros!$A$11:$B$13,2,0),0)*K895</f>
        <v>0</v>
      </c>
      <c r="N895" s="10">
        <f>IF(H895="Sim",VLOOKUP("Minecraft Pass",Parâmetros!$A$11:$B$13,2,0),0)*K895</f>
        <v>71.820000000000007</v>
      </c>
      <c r="O895" s="10">
        <f>IF(I895="Sim",VLOOKUP("Call of Duty Pass",Parâmetros!$A$11:$B$13,2,0),0)*K895</f>
        <v>125.82000000000001</v>
      </c>
      <c r="P895" s="10">
        <f>(L895*K895+M895+N895+O895)*IF(F895="Promoção",1-Parâmetros!$B$22,1)</f>
        <v>825.87600000000009</v>
      </c>
      <c r="Q895" s="10">
        <f>Parâmetros!$B$20*K895</f>
        <v>216</v>
      </c>
      <c r="R895" s="10">
        <f>P895-Q895</f>
        <v>609.87600000000009</v>
      </c>
    </row>
    <row r="896" spans="1:18">
      <c r="A896">
        <v>895</v>
      </c>
      <c r="B896" s="8">
        <v>45488</v>
      </c>
      <c r="C896" t="s">
        <v>8</v>
      </c>
      <c r="D896" t="s">
        <v>46</v>
      </c>
      <c r="E896" t="s">
        <v>47</v>
      </c>
      <c r="F896" t="s">
        <v>42</v>
      </c>
      <c r="G896" t="s">
        <v>43</v>
      </c>
      <c r="H896" t="s">
        <v>44</v>
      </c>
      <c r="I896" t="s">
        <v>44</v>
      </c>
      <c r="J896" t="s">
        <v>45</v>
      </c>
      <c r="K896" s="9">
        <v>15</v>
      </c>
      <c r="L896" s="10">
        <f>IFERROR(VLOOKUP(C896,Parâmetros!$A$5:$D$7,IF(D896="Mensal",2,IF(D896="Trimestral",3,4)),0),0)</f>
        <v>21.99</v>
      </c>
      <c r="M896" s="10">
        <f>IF(G896="Sim",VLOOKUP("EA Play",Parâmetros!$A$11:$B$13,2,0),0)*K896</f>
        <v>74.850000000000009</v>
      </c>
      <c r="N896" s="10">
        <f>IF(H896="Sim",VLOOKUP("Minecraft Pass",Parâmetros!$A$11:$B$13,2,0),0)*K896</f>
        <v>0</v>
      </c>
      <c r="O896" s="10">
        <f>IF(I896="Sim",VLOOKUP("Call of Duty Pass",Parâmetros!$A$11:$B$13,2,0),0)*K896</f>
        <v>0</v>
      </c>
      <c r="P896" s="10">
        <f>(L896*K896+M896+N896+O896)*IF(F896="Promoção",1-Parâmetros!$B$22,1)</f>
        <v>404.7</v>
      </c>
      <c r="Q896" s="10">
        <f>Parâmetros!$B$20*K896</f>
        <v>180</v>
      </c>
      <c r="R896" s="10">
        <f>P896-Q896</f>
        <v>224.7</v>
      </c>
    </row>
    <row r="897" spans="1:18">
      <c r="A897">
        <v>896</v>
      </c>
      <c r="B897" s="8">
        <v>45519</v>
      </c>
      <c r="C897" t="s">
        <v>6</v>
      </c>
      <c r="D897" t="s">
        <v>46</v>
      </c>
      <c r="E897" t="s">
        <v>47</v>
      </c>
      <c r="F897" t="s">
        <v>52</v>
      </c>
      <c r="G897" t="s">
        <v>43</v>
      </c>
      <c r="H897" t="s">
        <v>43</v>
      </c>
      <c r="I897" t="s">
        <v>43</v>
      </c>
      <c r="J897" t="s">
        <v>49</v>
      </c>
      <c r="K897" s="9">
        <v>27</v>
      </c>
      <c r="L897" s="10">
        <f>IFERROR(VLOOKUP(C897,Parâmetros!$A$5:$D$7,IF(D897="Mensal",2,IF(D897="Trimestral",3,4)),0),0)</f>
        <v>9.99</v>
      </c>
      <c r="M897" s="10">
        <f>IF(G897="Sim",VLOOKUP("EA Play",Parâmetros!$A$11:$B$13,2,0),0)*K897</f>
        <v>134.73000000000002</v>
      </c>
      <c r="N897" s="10">
        <f>IF(H897="Sim",VLOOKUP("Minecraft Pass",Parâmetros!$A$11:$B$13,2,0),0)*K897</f>
        <v>107.73</v>
      </c>
      <c r="O897" s="10">
        <f>IF(I897="Sim",VLOOKUP("Call of Duty Pass",Parâmetros!$A$11:$B$13,2,0),0)*K897</f>
        <v>188.73000000000002</v>
      </c>
      <c r="P897" s="10">
        <f>(L897*K897+M897+N897+O897)*IF(F897="Promoção",1-Parâmetros!$B$22,1)</f>
        <v>700.92000000000007</v>
      </c>
      <c r="Q897" s="10">
        <f>Parâmetros!$B$20*K897</f>
        <v>324</v>
      </c>
      <c r="R897" s="10">
        <f>P897-Q897</f>
        <v>376.92000000000007</v>
      </c>
    </row>
    <row r="898" spans="1:18">
      <c r="A898">
        <v>897</v>
      </c>
      <c r="B898" s="8">
        <v>45544</v>
      </c>
      <c r="C898" t="s">
        <v>6</v>
      </c>
      <c r="D898" t="s">
        <v>46</v>
      </c>
      <c r="E898" t="s">
        <v>41</v>
      </c>
      <c r="F898" t="s">
        <v>42</v>
      </c>
      <c r="G898" t="s">
        <v>44</v>
      </c>
      <c r="H898" t="s">
        <v>43</v>
      </c>
      <c r="I898" t="s">
        <v>44</v>
      </c>
      <c r="J898" t="s">
        <v>45</v>
      </c>
      <c r="K898" s="9">
        <v>7</v>
      </c>
      <c r="L898" s="10">
        <f>IFERROR(VLOOKUP(C898,Parâmetros!$A$5:$D$7,IF(D898="Mensal",2,IF(D898="Trimestral",3,4)),0),0)</f>
        <v>9.99</v>
      </c>
      <c r="M898" s="10">
        <f>IF(G898="Sim",VLOOKUP("EA Play",Parâmetros!$A$11:$B$13,2,0),0)*K898</f>
        <v>0</v>
      </c>
      <c r="N898" s="10">
        <f>IF(H898="Sim",VLOOKUP("Minecraft Pass",Parâmetros!$A$11:$B$13,2,0),0)*K898</f>
        <v>27.93</v>
      </c>
      <c r="O898" s="10">
        <f>IF(I898="Sim",VLOOKUP("Call of Duty Pass",Parâmetros!$A$11:$B$13,2,0),0)*K898</f>
        <v>0</v>
      </c>
      <c r="P898" s="10">
        <f>(L898*K898+M898+N898+O898)*IF(F898="Promoção",1-Parâmetros!$B$22,1)</f>
        <v>97.860000000000014</v>
      </c>
      <c r="Q898" s="10">
        <f>Parâmetros!$B$20*K898</f>
        <v>84</v>
      </c>
      <c r="R898" s="10">
        <f>P898-Q898</f>
        <v>13.860000000000014</v>
      </c>
    </row>
    <row r="899" spans="1:18">
      <c r="A899">
        <v>898</v>
      </c>
      <c r="B899" s="8">
        <v>45733</v>
      </c>
      <c r="C899" t="s">
        <v>6</v>
      </c>
      <c r="D899" t="s">
        <v>50</v>
      </c>
      <c r="E899" t="s">
        <v>41</v>
      </c>
      <c r="F899" t="s">
        <v>42</v>
      </c>
      <c r="G899" t="s">
        <v>43</v>
      </c>
      <c r="H899" t="s">
        <v>43</v>
      </c>
      <c r="I899" t="s">
        <v>44</v>
      </c>
      <c r="J899" t="s">
        <v>45</v>
      </c>
      <c r="K899" s="9">
        <v>22</v>
      </c>
      <c r="L899" s="10">
        <f>IFERROR(VLOOKUP(C899,Parâmetros!$A$5:$D$7,IF(D899="Mensal",2,IF(D899="Trimestral",3,4)),0),0)</f>
        <v>99</v>
      </c>
      <c r="M899" s="10">
        <f>IF(G899="Sim",VLOOKUP("EA Play",Parâmetros!$A$11:$B$13,2,0),0)*K899</f>
        <v>109.78</v>
      </c>
      <c r="N899" s="10">
        <f>IF(H899="Sim",VLOOKUP("Minecraft Pass",Parâmetros!$A$11:$B$13,2,0),0)*K899</f>
        <v>87.78</v>
      </c>
      <c r="O899" s="10">
        <f>IF(I899="Sim",VLOOKUP("Call of Duty Pass",Parâmetros!$A$11:$B$13,2,0),0)*K899</f>
        <v>0</v>
      </c>
      <c r="P899" s="10">
        <f>(L899*K899+M899+N899+O899)*IF(F899="Promoção",1-Parâmetros!$B$22,1)</f>
        <v>2375.5600000000004</v>
      </c>
      <c r="Q899" s="10">
        <f>Parâmetros!$B$20*K899</f>
        <v>264</v>
      </c>
      <c r="R899" s="10">
        <f>P899-Q899</f>
        <v>2111.5600000000004</v>
      </c>
    </row>
    <row r="900" spans="1:18">
      <c r="A900">
        <v>899</v>
      </c>
      <c r="B900" s="8">
        <v>45661</v>
      </c>
      <c r="C900" t="s">
        <v>7</v>
      </c>
      <c r="D900" t="s">
        <v>46</v>
      </c>
      <c r="E900" t="s">
        <v>51</v>
      </c>
      <c r="F900" t="s">
        <v>48</v>
      </c>
      <c r="G900" t="s">
        <v>43</v>
      </c>
      <c r="H900" t="s">
        <v>44</v>
      </c>
      <c r="I900" t="s">
        <v>43</v>
      </c>
      <c r="J900" t="s">
        <v>49</v>
      </c>
      <c r="K900" s="9">
        <v>7</v>
      </c>
      <c r="L900" s="10">
        <f>IFERROR(VLOOKUP(C900,Parâmetros!$A$5:$D$7,IF(D900="Mensal",2,IF(D900="Trimestral",3,4)),0),0)</f>
        <v>14.99</v>
      </c>
      <c r="M900" s="10">
        <f>IF(G900="Sim",VLOOKUP("EA Play",Parâmetros!$A$11:$B$13,2,0),0)*K900</f>
        <v>34.93</v>
      </c>
      <c r="N900" s="10">
        <f>IF(H900="Sim",VLOOKUP("Minecraft Pass",Parâmetros!$A$11:$B$13,2,0),0)*K900</f>
        <v>0</v>
      </c>
      <c r="O900" s="10">
        <f>IF(I900="Sim",VLOOKUP("Call of Duty Pass",Parâmetros!$A$11:$B$13,2,0),0)*K900</f>
        <v>48.93</v>
      </c>
      <c r="P900" s="10">
        <f>(L900*K900+M900+N900+O900)*IF(F900="Promoção",1-Parâmetros!$B$22,1)</f>
        <v>188.79000000000002</v>
      </c>
      <c r="Q900" s="10">
        <f>Parâmetros!$B$20*K900</f>
        <v>84</v>
      </c>
      <c r="R900" s="10">
        <f>P900-Q900</f>
        <v>104.79000000000002</v>
      </c>
    </row>
    <row r="901" spans="1:18">
      <c r="A901">
        <v>900</v>
      </c>
      <c r="B901" s="8">
        <v>45425</v>
      </c>
      <c r="C901" t="s">
        <v>7</v>
      </c>
      <c r="D901" t="s">
        <v>40</v>
      </c>
      <c r="E901" t="s">
        <v>41</v>
      </c>
      <c r="F901" t="s">
        <v>54</v>
      </c>
      <c r="G901" t="s">
        <v>44</v>
      </c>
      <c r="H901" t="s">
        <v>44</v>
      </c>
      <c r="I901" t="s">
        <v>43</v>
      </c>
      <c r="J901" t="s">
        <v>49</v>
      </c>
      <c r="K901" s="9">
        <v>7</v>
      </c>
      <c r="L901" s="10">
        <f>IFERROR(VLOOKUP(C901,Parâmetros!$A$5:$D$7,IF(D901="Mensal",2,IF(D901="Trimestral",3,4)),0),0)</f>
        <v>40</v>
      </c>
      <c r="M901" s="10">
        <f>IF(G901="Sim",VLOOKUP("EA Play",Parâmetros!$A$11:$B$13,2,0),0)*K901</f>
        <v>0</v>
      </c>
      <c r="N901" s="10">
        <f>IF(H901="Sim",VLOOKUP("Minecraft Pass",Parâmetros!$A$11:$B$13,2,0),0)*K901</f>
        <v>0</v>
      </c>
      <c r="O901" s="10">
        <f>IF(I901="Sim",VLOOKUP("Call of Duty Pass",Parâmetros!$A$11:$B$13,2,0),0)*K901</f>
        <v>48.93</v>
      </c>
      <c r="P901" s="10">
        <f>(L901*K901+M901+N901+O901)*IF(F901="Promoção",1-Parâmetros!$B$22,1)</f>
        <v>296.03700000000003</v>
      </c>
      <c r="Q901" s="10">
        <f>Parâmetros!$B$20*K901</f>
        <v>84</v>
      </c>
      <c r="R901" s="10">
        <f>P901-Q901</f>
        <v>212.03700000000003</v>
      </c>
    </row>
    <row r="902" spans="1:18">
      <c r="A902">
        <v>901</v>
      </c>
      <c r="B902" s="8">
        <v>45368</v>
      </c>
      <c r="C902" t="s">
        <v>8</v>
      </c>
      <c r="D902" t="s">
        <v>40</v>
      </c>
      <c r="E902" t="s">
        <v>41</v>
      </c>
      <c r="F902" t="s">
        <v>48</v>
      </c>
      <c r="G902" t="s">
        <v>44</v>
      </c>
      <c r="H902" t="s">
        <v>44</v>
      </c>
      <c r="I902" t="s">
        <v>43</v>
      </c>
      <c r="J902" t="s">
        <v>49</v>
      </c>
      <c r="K902" s="9">
        <v>27</v>
      </c>
      <c r="L902" s="10">
        <f>IFERROR(VLOOKUP(C902,Parâmetros!$A$5:$D$7,IF(D902="Mensal",2,IF(D902="Trimestral",3,4)),0),0)</f>
        <v>59</v>
      </c>
      <c r="M902" s="10">
        <f>IF(G902="Sim",VLOOKUP("EA Play",Parâmetros!$A$11:$B$13,2,0),0)*K902</f>
        <v>0</v>
      </c>
      <c r="N902" s="10">
        <f>IF(H902="Sim",VLOOKUP("Minecraft Pass",Parâmetros!$A$11:$B$13,2,0),0)*K902</f>
        <v>0</v>
      </c>
      <c r="O902" s="10">
        <f>IF(I902="Sim",VLOOKUP("Call of Duty Pass",Parâmetros!$A$11:$B$13,2,0),0)*K902</f>
        <v>188.73000000000002</v>
      </c>
      <c r="P902" s="10">
        <f>(L902*K902+M902+N902+O902)*IF(F902="Promoção",1-Parâmetros!$B$22,1)</f>
        <v>1781.73</v>
      </c>
      <c r="Q902" s="10">
        <f>Parâmetros!$B$20*K902</f>
        <v>324</v>
      </c>
      <c r="R902" s="10">
        <f>P902-Q902</f>
        <v>1457.73</v>
      </c>
    </row>
    <row r="903" spans="1:18">
      <c r="A903">
        <v>902</v>
      </c>
      <c r="B903" s="8">
        <v>45855</v>
      </c>
      <c r="C903" t="s">
        <v>7</v>
      </c>
      <c r="D903" t="s">
        <v>50</v>
      </c>
      <c r="E903" t="s">
        <v>51</v>
      </c>
      <c r="F903" t="s">
        <v>54</v>
      </c>
      <c r="G903" t="s">
        <v>44</v>
      </c>
      <c r="H903" t="s">
        <v>43</v>
      </c>
      <c r="I903" t="s">
        <v>44</v>
      </c>
      <c r="J903" t="s">
        <v>45</v>
      </c>
      <c r="K903" s="9">
        <v>8</v>
      </c>
      <c r="L903" s="10">
        <f>IFERROR(VLOOKUP(C903,Parâmetros!$A$5:$D$7,IF(D903="Mensal",2,IF(D903="Trimestral",3,4)),0),0)</f>
        <v>149</v>
      </c>
      <c r="M903" s="10">
        <f>IF(G903="Sim",VLOOKUP("EA Play",Parâmetros!$A$11:$B$13,2,0),0)*K903</f>
        <v>0</v>
      </c>
      <c r="N903" s="10">
        <f>IF(H903="Sim",VLOOKUP("Minecraft Pass",Parâmetros!$A$11:$B$13,2,0),0)*K903</f>
        <v>31.92</v>
      </c>
      <c r="O903" s="10">
        <f>IF(I903="Sim",VLOOKUP("Call of Duty Pass",Parâmetros!$A$11:$B$13,2,0),0)*K903</f>
        <v>0</v>
      </c>
      <c r="P903" s="10">
        <f>(L903*K903+M903+N903+O903)*IF(F903="Promoção",1-Parâmetros!$B$22,1)</f>
        <v>1101.528</v>
      </c>
      <c r="Q903" s="10">
        <f>Parâmetros!$B$20*K903</f>
        <v>96</v>
      </c>
      <c r="R903" s="10">
        <f>P903-Q903</f>
        <v>1005.528</v>
      </c>
    </row>
    <row r="904" spans="1:18">
      <c r="A904">
        <v>903</v>
      </c>
      <c r="B904" s="8">
        <v>45738</v>
      </c>
      <c r="C904" t="s">
        <v>6</v>
      </c>
      <c r="D904" t="s">
        <v>46</v>
      </c>
      <c r="E904" t="s">
        <v>55</v>
      </c>
      <c r="F904" t="s">
        <v>48</v>
      </c>
      <c r="G904" t="s">
        <v>43</v>
      </c>
      <c r="H904" t="s">
        <v>44</v>
      </c>
      <c r="I904" t="s">
        <v>44</v>
      </c>
      <c r="J904" t="s">
        <v>49</v>
      </c>
      <c r="K904" s="9">
        <v>3</v>
      </c>
      <c r="L904" s="10">
        <f>IFERROR(VLOOKUP(C904,Parâmetros!$A$5:$D$7,IF(D904="Mensal",2,IF(D904="Trimestral",3,4)),0),0)</f>
        <v>9.99</v>
      </c>
      <c r="M904" s="10">
        <f>IF(G904="Sim",VLOOKUP("EA Play",Parâmetros!$A$11:$B$13,2,0),0)*K904</f>
        <v>14.97</v>
      </c>
      <c r="N904" s="10">
        <f>IF(H904="Sim",VLOOKUP("Minecraft Pass",Parâmetros!$A$11:$B$13,2,0),0)*K904</f>
        <v>0</v>
      </c>
      <c r="O904" s="10">
        <f>IF(I904="Sim",VLOOKUP("Call of Duty Pass",Parâmetros!$A$11:$B$13,2,0),0)*K904</f>
        <v>0</v>
      </c>
      <c r="P904" s="10">
        <f>(L904*K904+M904+N904+O904)*IF(F904="Promoção",1-Parâmetros!$B$22,1)</f>
        <v>44.94</v>
      </c>
      <c r="Q904" s="10">
        <f>Parâmetros!$B$20*K904</f>
        <v>36</v>
      </c>
      <c r="R904" s="10">
        <f>P904-Q904</f>
        <v>8.9399999999999977</v>
      </c>
    </row>
    <row r="905" spans="1:18">
      <c r="A905">
        <v>904</v>
      </c>
      <c r="B905" s="8">
        <v>45871</v>
      </c>
      <c r="C905" t="s">
        <v>6</v>
      </c>
      <c r="D905" t="s">
        <v>50</v>
      </c>
      <c r="E905" t="s">
        <v>41</v>
      </c>
      <c r="F905" t="s">
        <v>54</v>
      </c>
      <c r="G905" t="s">
        <v>44</v>
      </c>
      <c r="H905" t="s">
        <v>44</v>
      </c>
      <c r="I905" t="s">
        <v>44</v>
      </c>
      <c r="J905" t="s">
        <v>49</v>
      </c>
      <c r="K905" s="9">
        <v>29</v>
      </c>
      <c r="L905" s="10">
        <f>IFERROR(VLOOKUP(C905,Parâmetros!$A$5:$D$7,IF(D905="Mensal",2,IF(D905="Trimestral",3,4)),0),0)</f>
        <v>99</v>
      </c>
      <c r="M905" s="10">
        <f>IF(G905="Sim",VLOOKUP("EA Play",Parâmetros!$A$11:$B$13,2,0),0)*K905</f>
        <v>0</v>
      </c>
      <c r="N905" s="10">
        <f>IF(H905="Sim",VLOOKUP("Minecraft Pass",Parâmetros!$A$11:$B$13,2,0),0)*K905</f>
        <v>0</v>
      </c>
      <c r="O905" s="10">
        <f>IF(I905="Sim",VLOOKUP("Call of Duty Pass",Parâmetros!$A$11:$B$13,2,0),0)*K905</f>
        <v>0</v>
      </c>
      <c r="P905" s="10">
        <f>(L905*K905+M905+N905+O905)*IF(F905="Promoção",1-Parâmetros!$B$22,1)</f>
        <v>2583.9</v>
      </c>
      <c r="Q905" s="10">
        <f>Parâmetros!$B$20*K905</f>
        <v>348</v>
      </c>
      <c r="R905" s="10">
        <f>P905-Q905</f>
        <v>2235.9</v>
      </c>
    </row>
    <row r="906" spans="1:18">
      <c r="A906">
        <v>905</v>
      </c>
      <c r="B906" s="8">
        <v>45813</v>
      </c>
      <c r="C906" t="s">
        <v>6</v>
      </c>
      <c r="D906" t="s">
        <v>40</v>
      </c>
      <c r="E906" t="s">
        <v>41</v>
      </c>
      <c r="F906" t="s">
        <v>42</v>
      </c>
      <c r="G906" t="s">
        <v>43</v>
      </c>
      <c r="H906" t="s">
        <v>43</v>
      </c>
      <c r="I906" t="s">
        <v>43</v>
      </c>
      <c r="J906" t="s">
        <v>45</v>
      </c>
      <c r="K906" s="9">
        <v>33</v>
      </c>
      <c r="L906" s="10">
        <f>IFERROR(VLOOKUP(C906,Parâmetros!$A$5:$D$7,IF(D906="Mensal",2,IF(D906="Trimestral",3,4)),0),0)</f>
        <v>27</v>
      </c>
      <c r="M906" s="10">
        <f>IF(G906="Sim",VLOOKUP("EA Play",Parâmetros!$A$11:$B$13,2,0),0)*K906</f>
        <v>164.67000000000002</v>
      </c>
      <c r="N906" s="10">
        <f>IF(H906="Sim",VLOOKUP("Minecraft Pass",Parâmetros!$A$11:$B$13,2,0),0)*K906</f>
        <v>131.67000000000002</v>
      </c>
      <c r="O906" s="10">
        <f>IF(I906="Sim",VLOOKUP("Call of Duty Pass",Parâmetros!$A$11:$B$13,2,0),0)*K906</f>
        <v>230.67000000000002</v>
      </c>
      <c r="P906" s="10">
        <f>(L906*K906+M906+N906+O906)*IF(F906="Promoção",1-Parâmetros!$B$22,1)</f>
        <v>1418.0100000000002</v>
      </c>
      <c r="Q906" s="10">
        <f>Parâmetros!$B$20*K906</f>
        <v>396</v>
      </c>
      <c r="R906" s="10">
        <f>P906-Q906</f>
        <v>1022.0100000000002</v>
      </c>
    </row>
    <row r="907" spans="1:18">
      <c r="A907">
        <v>906</v>
      </c>
      <c r="B907" s="8">
        <v>45758</v>
      </c>
      <c r="C907" t="s">
        <v>7</v>
      </c>
      <c r="D907" t="s">
        <v>40</v>
      </c>
      <c r="E907" t="s">
        <v>41</v>
      </c>
      <c r="F907" t="s">
        <v>54</v>
      </c>
      <c r="G907" t="s">
        <v>43</v>
      </c>
      <c r="H907" t="s">
        <v>43</v>
      </c>
      <c r="I907" t="s">
        <v>43</v>
      </c>
      <c r="J907" t="s">
        <v>49</v>
      </c>
      <c r="K907" s="9">
        <v>35</v>
      </c>
      <c r="L907" s="10">
        <f>IFERROR(VLOOKUP(C907,Parâmetros!$A$5:$D$7,IF(D907="Mensal",2,IF(D907="Trimestral",3,4)),0),0)</f>
        <v>40</v>
      </c>
      <c r="M907" s="10">
        <f>IF(G907="Sim",VLOOKUP("EA Play",Parâmetros!$A$11:$B$13,2,0),0)*K907</f>
        <v>174.65</v>
      </c>
      <c r="N907" s="10">
        <f>IF(H907="Sim",VLOOKUP("Minecraft Pass",Parâmetros!$A$11:$B$13,2,0),0)*K907</f>
        <v>139.65</v>
      </c>
      <c r="O907" s="10">
        <f>IF(I907="Sim",VLOOKUP("Call of Duty Pass",Parâmetros!$A$11:$B$13,2,0),0)*K907</f>
        <v>244.65</v>
      </c>
      <c r="P907" s="10">
        <f>(L907*K907+M907+N907+O907)*IF(F907="Promoção",1-Parâmetros!$B$22,1)</f>
        <v>1763.0550000000003</v>
      </c>
      <c r="Q907" s="10">
        <f>Parâmetros!$B$20*K907</f>
        <v>420</v>
      </c>
      <c r="R907" s="10">
        <f>P907-Q907</f>
        <v>1343.0550000000003</v>
      </c>
    </row>
    <row r="908" spans="1:18">
      <c r="A908">
        <v>907</v>
      </c>
      <c r="B908" s="8">
        <v>45535</v>
      </c>
      <c r="C908" t="s">
        <v>6</v>
      </c>
      <c r="D908" t="s">
        <v>40</v>
      </c>
      <c r="E908" t="s">
        <v>53</v>
      </c>
      <c r="F908" t="s">
        <v>42</v>
      </c>
      <c r="G908" t="s">
        <v>43</v>
      </c>
      <c r="H908" t="s">
        <v>44</v>
      </c>
      <c r="I908" t="s">
        <v>43</v>
      </c>
      <c r="J908" t="s">
        <v>45</v>
      </c>
      <c r="K908" s="9">
        <v>14</v>
      </c>
      <c r="L908" s="10">
        <f>IFERROR(VLOOKUP(C908,Parâmetros!$A$5:$D$7,IF(D908="Mensal",2,IF(D908="Trimestral",3,4)),0),0)</f>
        <v>27</v>
      </c>
      <c r="M908" s="10">
        <f>IF(G908="Sim",VLOOKUP("EA Play",Parâmetros!$A$11:$B$13,2,0),0)*K908</f>
        <v>69.86</v>
      </c>
      <c r="N908" s="10">
        <f>IF(H908="Sim",VLOOKUP("Minecraft Pass",Parâmetros!$A$11:$B$13,2,0),0)*K908</f>
        <v>0</v>
      </c>
      <c r="O908" s="10">
        <f>IF(I908="Sim",VLOOKUP("Call of Duty Pass",Parâmetros!$A$11:$B$13,2,0),0)*K908</f>
        <v>97.86</v>
      </c>
      <c r="P908" s="10">
        <f>(L908*K908+M908+N908+O908)*IF(F908="Promoção",1-Parâmetros!$B$22,1)</f>
        <v>545.72</v>
      </c>
      <c r="Q908" s="10">
        <f>Parâmetros!$B$20*K908</f>
        <v>168</v>
      </c>
      <c r="R908" s="10">
        <f>P908-Q908</f>
        <v>377.72</v>
      </c>
    </row>
    <row r="909" spans="1:18">
      <c r="A909">
        <v>908</v>
      </c>
      <c r="B909" s="8">
        <v>45839</v>
      </c>
      <c r="C909" t="s">
        <v>6</v>
      </c>
      <c r="D909" t="s">
        <v>40</v>
      </c>
      <c r="E909" t="s">
        <v>47</v>
      </c>
      <c r="F909" t="s">
        <v>54</v>
      </c>
      <c r="G909" t="s">
        <v>43</v>
      </c>
      <c r="H909" t="s">
        <v>44</v>
      </c>
      <c r="I909" t="s">
        <v>44</v>
      </c>
      <c r="J909" t="s">
        <v>49</v>
      </c>
      <c r="K909" s="9">
        <v>9</v>
      </c>
      <c r="L909" s="10">
        <f>IFERROR(VLOOKUP(C909,Parâmetros!$A$5:$D$7,IF(D909="Mensal",2,IF(D909="Trimestral",3,4)),0),0)</f>
        <v>27</v>
      </c>
      <c r="M909" s="10">
        <f>IF(G909="Sim",VLOOKUP("EA Play",Parâmetros!$A$11:$B$13,2,0),0)*K909</f>
        <v>44.910000000000004</v>
      </c>
      <c r="N909" s="10">
        <f>IF(H909="Sim",VLOOKUP("Minecraft Pass",Parâmetros!$A$11:$B$13,2,0),0)*K909</f>
        <v>0</v>
      </c>
      <c r="O909" s="10">
        <f>IF(I909="Sim",VLOOKUP("Call of Duty Pass",Parâmetros!$A$11:$B$13,2,0),0)*K909</f>
        <v>0</v>
      </c>
      <c r="P909" s="10">
        <f>(L909*K909+M909+N909+O909)*IF(F909="Promoção",1-Parâmetros!$B$22,1)</f>
        <v>259.11900000000003</v>
      </c>
      <c r="Q909" s="10">
        <f>Parâmetros!$B$20*K909</f>
        <v>108</v>
      </c>
      <c r="R909" s="10">
        <f>P909-Q909</f>
        <v>151.11900000000003</v>
      </c>
    </row>
    <row r="910" spans="1:18">
      <c r="A910">
        <v>909</v>
      </c>
      <c r="B910" s="8">
        <v>45710</v>
      </c>
      <c r="C910" t="s">
        <v>8</v>
      </c>
      <c r="D910" t="s">
        <v>46</v>
      </c>
      <c r="E910" t="s">
        <v>53</v>
      </c>
      <c r="F910" t="s">
        <v>52</v>
      </c>
      <c r="G910" t="s">
        <v>43</v>
      </c>
      <c r="H910" t="s">
        <v>43</v>
      </c>
      <c r="I910" t="s">
        <v>44</v>
      </c>
      <c r="J910" t="s">
        <v>49</v>
      </c>
      <c r="K910" s="9">
        <v>17</v>
      </c>
      <c r="L910" s="10">
        <f>IFERROR(VLOOKUP(C910,Parâmetros!$A$5:$D$7,IF(D910="Mensal",2,IF(D910="Trimestral",3,4)),0),0)</f>
        <v>21.99</v>
      </c>
      <c r="M910" s="10">
        <f>IF(G910="Sim",VLOOKUP("EA Play",Parâmetros!$A$11:$B$13,2,0),0)*K910</f>
        <v>84.83</v>
      </c>
      <c r="N910" s="10">
        <f>IF(H910="Sim",VLOOKUP("Minecraft Pass",Parâmetros!$A$11:$B$13,2,0),0)*K910</f>
        <v>67.83</v>
      </c>
      <c r="O910" s="10">
        <f>IF(I910="Sim",VLOOKUP("Call of Duty Pass",Parâmetros!$A$11:$B$13,2,0),0)*K910</f>
        <v>0</v>
      </c>
      <c r="P910" s="10">
        <f>(L910*K910+M910+N910+O910)*IF(F910="Promoção",1-Parâmetros!$B$22,1)</f>
        <v>526.49</v>
      </c>
      <c r="Q910" s="10">
        <f>Parâmetros!$B$20*K910</f>
        <v>204</v>
      </c>
      <c r="R910" s="10">
        <f>P910-Q910</f>
        <v>322.49</v>
      </c>
    </row>
    <row r="911" spans="1:18">
      <c r="A911">
        <v>910</v>
      </c>
      <c r="B911" s="8">
        <v>45308</v>
      </c>
      <c r="C911" t="s">
        <v>7</v>
      </c>
      <c r="D911" t="s">
        <v>50</v>
      </c>
      <c r="E911" t="s">
        <v>51</v>
      </c>
      <c r="F911" t="s">
        <v>52</v>
      </c>
      <c r="G911" t="s">
        <v>43</v>
      </c>
      <c r="H911" t="s">
        <v>44</v>
      </c>
      <c r="I911" t="s">
        <v>44</v>
      </c>
      <c r="J911" t="s">
        <v>45</v>
      </c>
      <c r="K911" s="9">
        <v>14</v>
      </c>
      <c r="L911" s="10">
        <f>IFERROR(VLOOKUP(C911,Parâmetros!$A$5:$D$7,IF(D911="Mensal",2,IF(D911="Trimestral",3,4)),0),0)</f>
        <v>149</v>
      </c>
      <c r="M911" s="10">
        <f>IF(G911="Sim",VLOOKUP("EA Play",Parâmetros!$A$11:$B$13,2,0),0)*K911</f>
        <v>69.86</v>
      </c>
      <c r="N911" s="10">
        <f>IF(H911="Sim",VLOOKUP("Minecraft Pass",Parâmetros!$A$11:$B$13,2,0),0)*K911</f>
        <v>0</v>
      </c>
      <c r="O911" s="10">
        <f>IF(I911="Sim",VLOOKUP("Call of Duty Pass",Parâmetros!$A$11:$B$13,2,0),0)*K911</f>
        <v>0</v>
      </c>
      <c r="P911" s="10">
        <f>(L911*K911+M911+N911+O911)*IF(F911="Promoção",1-Parâmetros!$B$22,1)</f>
        <v>2155.86</v>
      </c>
      <c r="Q911" s="10">
        <f>Parâmetros!$B$20*K911</f>
        <v>168</v>
      </c>
      <c r="R911" s="10">
        <f>P911-Q911</f>
        <v>1987.8600000000001</v>
      </c>
    </row>
    <row r="912" spans="1:18">
      <c r="A912">
        <v>911</v>
      </c>
      <c r="B912" s="8">
        <v>45744</v>
      </c>
      <c r="C912" t="s">
        <v>6</v>
      </c>
      <c r="D912" t="s">
        <v>46</v>
      </c>
      <c r="E912" t="s">
        <v>47</v>
      </c>
      <c r="F912" t="s">
        <v>54</v>
      </c>
      <c r="G912" t="s">
        <v>44</v>
      </c>
      <c r="H912" t="s">
        <v>43</v>
      </c>
      <c r="I912" t="s">
        <v>43</v>
      </c>
      <c r="J912" t="s">
        <v>45</v>
      </c>
      <c r="K912" s="9">
        <v>24</v>
      </c>
      <c r="L912" s="10">
        <f>IFERROR(VLOOKUP(C912,Parâmetros!$A$5:$D$7,IF(D912="Mensal",2,IF(D912="Trimestral",3,4)),0),0)</f>
        <v>9.99</v>
      </c>
      <c r="M912" s="10">
        <f>IF(G912="Sim",VLOOKUP("EA Play",Parâmetros!$A$11:$B$13,2,0),0)*K912</f>
        <v>0</v>
      </c>
      <c r="N912" s="10">
        <f>IF(H912="Sim",VLOOKUP("Minecraft Pass",Parâmetros!$A$11:$B$13,2,0),0)*K912</f>
        <v>95.76</v>
      </c>
      <c r="O912" s="10">
        <f>IF(I912="Sim",VLOOKUP("Call of Duty Pass",Parâmetros!$A$11:$B$13,2,0),0)*K912</f>
        <v>167.76</v>
      </c>
      <c r="P912" s="10">
        <f>(L912*K912+M912+N912+O912)*IF(F912="Promoção",1-Parâmetros!$B$22,1)</f>
        <v>452.952</v>
      </c>
      <c r="Q912" s="10">
        <f>Parâmetros!$B$20*K912</f>
        <v>288</v>
      </c>
      <c r="R912" s="10">
        <f>P912-Q912</f>
        <v>164.952</v>
      </c>
    </row>
    <row r="913" spans="1:18">
      <c r="A913">
        <v>912</v>
      </c>
      <c r="B913" s="8">
        <v>45443</v>
      </c>
      <c r="C913" t="s">
        <v>8</v>
      </c>
      <c r="D913" t="s">
        <v>46</v>
      </c>
      <c r="E913" t="s">
        <v>41</v>
      </c>
      <c r="F913" t="s">
        <v>42</v>
      </c>
      <c r="G913" t="s">
        <v>44</v>
      </c>
      <c r="H913" t="s">
        <v>43</v>
      </c>
      <c r="I913" t="s">
        <v>44</v>
      </c>
      <c r="J913" t="s">
        <v>45</v>
      </c>
      <c r="K913" s="9">
        <v>19</v>
      </c>
      <c r="L913" s="10">
        <f>IFERROR(VLOOKUP(C913,Parâmetros!$A$5:$D$7,IF(D913="Mensal",2,IF(D913="Trimestral",3,4)),0),0)</f>
        <v>21.99</v>
      </c>
      <c r="M913" s="10">
        <f>IF(G913="Sim",VLOOKUP("EA Play",Parâmetros!$A$11:$B$13,2,0),0)*K913</f>
        <v>0</v>
      </c>
      <c r="N913" s="10">
        <f>IF(H913="Sim",VLOOKUP("Minecraft Pass",Parâmetros!$A$11:$B$13,2,0),0)*K913</f>
        <v>75.81</v>
      </c>
      <c r="O913" s="10">
        <f>IF(I913="Sim",VLOOKUP("Call of Duty Pass",Parâmetros!$A$11:$B$13,2,0),0)*K913</f>
        <v>0</v>
      </c>
      <c r="P913" s="10">
        <f>(L913*K913+M913+N913+O913)*IF(F913="Promoção",1-Parâmetros!$B$22,1)</f>
        <v>493.61999999999995</v>
      </c>
      <c r="Q913" s="10">
        <f>Parâmetros!$B$20*K913</f>
        <v>228</v>
      </c>
      <c r="R913" s="10">
        <f>P913-Q913</f>
        <v>265.61999999999995</v>
      </c>
    </row>
    <row r="914" spans="1:18">
      <c r="A914">
        <v>913</v>
      </c>
      <c r="B914" s="8">
        <v>45313</v>
      </c>
      <c r="C914" t="s">
        <v>6</v>
      </c>
      <c r="D914" t="s">
        <v>50</v>
      </c>
      <c r="E914" t="s">
        <v>51</v>
      </c>
      <c r="F914" t="s">
        <v>52</v>
      </c>
      <c r="G914" t="s">
        <v>43</v>
      </c>
      <c r="H914" t="s">
        <v>43</v>
      </c>
      <c r="I914" t="s">
        <v>44</v>
      </c>
      <c r="J914" t="s">
        <v>49</v>
      </c>
      <c r="K914" s="9">
        <v>26</v>
      </c>
      <c r="L914" s="10">
        <f>IFERROR(VLOOKUP(C914,Parâmetros!$A$5:$D$7,IF(D914="Mensal",2,IF(D914="Trimestral",3,4)),0),0)</f>
        <v>99</v>
      </c>
      <c r="M914" s="10">
        <f>IF(G914="Sim",VLOOKUP("EA Play",Parâmetros!$A$11:$B$13,2,0),0)*K914</f>
        <v>129.74</v>
      </c>
      <c r="N914" s="10">
        <f>IF(H914="Sim",VLOOKUP("Minecraft Pass",Parâmetros!$A$11:$B$13,2,0),0)*K914</f>
        <v>103.74000000000001</v>
      </c>
      <c r="O914" s="10">
        <f>IF(I914="Sim",VLOOKUP("Call of Duty Pass",Parâmetros!$A$11:$B$13,2,0),0)*K914</f>
        <v>0</v>
      </c>
      <c r="P914" s="10">
        <f>(L914*K914+M914+N914+O914)*IF(F914="Promoção",1-Parâmetros!$B$22,1)</f>
        <v>2807.4799999999996</v>
      </c>
      <c r="Q914" s="10">
        <f>Parâmetros!$B$20*K914</f>
        <v>312</v>
      </c>
      <c r="R914" s="10">
        <f>P914-Q914</f>
        <v>2495.4799999999996</v>
      </c>
    </row>
    <row r="915" spans="1:18">
      <c r="A915">
        <v>914</v>
      </c>
      <c r="B915" s="8">
        <v>45394</v>
      </c>
      <c r="C915" t="s">
        <v>7</v>
      </c>
      <c r="D915" t="s">
        <v>46</v>
      </c>
      <c r="E915" t="s">
        <v>51</v>
      </c>
      <c r="F915" t="s">
        <v>42</v>
      </c>
      <c r="G915" t="s">
        <v>43</v>
      </c>
      <c r="H915" t="s">
        <v>43</v>
      </c>
      <c r="I915" t="s">
        <v>43</v>
      </c>
      <c r="J915" t="s">
        <v>49</v>
      </c>
      <c r="K915" s="9">
        <v>3</v>
      </c>
      <c r="L915" s="10">
        <f>IFERROR(VLOOKUP(C915,Parâmetros!$A$5:$D$7,IF(D915="Mensal",2,IF(D915="Trimestral",3,4)),0),0)</f>
        <v>14.99</v>
      </c>
      <c r="M915" s="10">
        <f>IF(G915="Sim",VLOOKUP("EA Play",Parâmetros!$A$11:$B$13,2,0),0)*K915</f>
        <v>14.97</v>
      </c>
      <c r="N915" s="10">
        <f>IF(H915="Sim",VLOOKUP("Minecraft Pass",Parâmetros!$A$11:$B$13,2,0),0)*K915</f>
        <v>11.97</v>
      </c>
      <c r="O915" s="10">
        <f>IF(I915="Sim",VLOOKUP("Call of Duty Pass",Parâmetros!$A$11:$B$13,2,0),0)*K915</f>
        <v>20.97</v>
      </c>
      <c r="P915" s="10">
        <f>(L915*K915+M915+N915+O915)*IF(F915="Promoção",1-Parâmetros!$B$22,1)</f>
        <v>92.88</v>
      </c>
      <c r="Q915" s="10">
        <f>Parâmetros!$B$20*K915</f>
        <v>36</v>
      </c>
      <c r="R915" s="10">
        <f>P915-Q915</f>
        <v>56.879999999999995</v>
      </c>
    </row>
    <row r="916" spans="1:18">
      <c r="A916">
        <v>915</v>
      </c>
      <c r="B916" s="8">
        <v>45427</v>
      </c>
      <c r="C916" t="s">
        <v>6</v>
      </c>
      <c r="D916" t="s">
        <v>46</v>
      </c>
      <c r="E916" t="s">
        <v>41</v>
      </c>
      <c r="F916" t="s">
        <v>52</v>
      </c>
      <c r="G916" t="s">
        <v>43</v>
      </c>
      <c r="H916" t="s">
        <v>44</v>
      </c>
      <c r="I916" t="s">
        <v>44</v>
      </c>
      <c r="J916" t="s">
        <v>49</v>
      </c>
      <c r="K916" s="9">
        <v>22</v>
      </c>
      <c r="L916" s="10">
        <f>IFERROR(VLOOKUP(C916,Parâmetros!$A$5:$D$7,IF(D916="Mensal",2,IF(D916="Trimestral",3,4)),0),0)</f>
        <v>9.99</v>
      </c>
      <c r="M916" s="10">
        <f>IF(G916="Sim",VLOOKUP("EA Play",Parâmetros!$A$11:$B$13,2,0),0)*K916</f>
        <v>109.78</v>
      </c>
      <c r="N916" s="10">
        <f>IF(H916="Sim",VLOOKUP("Minecraft Pass",Parâmetros!$A$11:$B$13,2,0),0)*K916</f>
        <v>0</v>
      </c>
      <c r="O916" s="10">
        <f>IF(I916="Sim",VLOOKUP("Call of Duty Pass",Parâmetros!$A$11:$B$13,2,0),0)*K916</f>
        <v>0</v>
      </c>
      <c r="P916" s="10">
        <f>(L916*K916+M916+N916+O916)*IF(F916="Promoção",1-Parâmetros!$B$22,1)</f>
        <v>329.56</v>
      </c>
      <c r="Q916" s="10">
        <f>Parâmetros!$B$20*K916</f>
        <v>264</v>
      </c>
      <c r="R916" s="10">
        <f>P916-Q916</f>
        <v>65.56</v>
      </c>
    </row>
    <row r="917" spans="1:18">
      <c r="A917">
        <v>916</v>
      </c>
      <c r="B917" s="8">
        <v>46016</v>
      </c>
      <c r="C917" t="s">
        <v>6</v>
      </c>
      <c r="D917" t="s">
        <v>46</v>
      </c>
      <c r="E917" t="s">
        <v>51</v>
      </c>
      <c r="F917" t="s">
        <v>54</v>
      </c>
      <c r="G917" t="s">
        <v>44</v>
      </c>
      <c r="H917" t="s">
        <v>43</v>
      </c>
      <c r="I917" t="s">
        <v>44</v>
      </c>
      <c r="J917" t="s">
        <v>49</v>
      </c>
      <c r="K917" s="9">
        <v>35</v>
      </c>
      <c r="L917" s="10">
        <f>IFERROR(VLOOKUP(C917,Parâmetros!$A$5:$D$7,IF(D917="Mensal",2,IF(D917="Trimestral",3,4)),0),0)</f>
        <v>9.99</v>
      </c>
      <c r="M917" s="10">
        <f>IF(G917="Sim",VLOOKUP("EA Play",Parâmetros!$A$11:$B$13,2,0),0)*K917</f>
        <v>0</v>
      </c>
      <c r="N917" s="10">
        <f>IF(H917="Sim",VLOOKUP("Minecraft Pass",Parâmetros!$A$11:$B$13,2,0),0)*K917</f>
        <v>139.65</v>
      </c>
      <c r="O917" s="10">
        <f>IF(I917="Sim",VLOOKUP("Call of Duty Pass",Parâmetros!$A$11:$B$13,2,0),0)*K917</f>
        <v>0</v>
      </c>
      <c r="P917" s="10">
        <f>(L917*K917+M917+N917+O917)*IF(F917="Promoção",1-Parâmetros!$B$22,1)</f>
        <v>440.37000000000006</v>
      </c>
      <c r="Q917" s="10">
        <f>Parâmetros!$B$20*K917</f>
        <v>420</v>
      </c>
      <c r="R917" s="10">
        <f>P917-Q917</f>
        <v>20.370000000000061</v>
      </c>
    </row>
    <row r="918" spans="1:18">
      <c r="A918">
        <v>917</v>
      </c>
      <c r="B918" s="8">
        <v>46000</v>
      </c>
      <c r="C918" t="s">
        <v>6</v>
      </c>
      <c r="D918" t="s">
        <v>40</v>
      </c>
      <c r="E918" t="s">
        <v>41</v>
      </c>
      <c r="F918" t="s">
        <v>42</v>
      </c>
      <c r="G918" t="s">
        <v>44</v>
      </c>
      <c r="H918" t="s">
        <v>43</v>
      </c>
      <c r="I918" t="s">
        <v>44</v>
      </c>
      <c r="J918" t="s">
        <v>49</v>
      </c>
      <c r="K918" s="9">
        <v>1</v>
      </c>
      <c r="L918" s="10">
        <f>IFERROR(VLOOKUP(C918,Parâmetros!$A$5:$D$7,IF(D918="Mensal",2,IF(D918="Trimestral",3,4)),0),0)</f>
        <v>27</v>
      </c>
      <c r="M918" s="10">
        <f>IF(G918="Sim",VLOOKUP("EA Play",Parâmetros!$A$11:$B$13,2,0),0)*K918</f>
        <v>0</v>
      </c>
      <c r="N918" s="10">
        <f>IF(H918="Sim",VLOOKUP("Minecraft Pass",Parâmetros!$A$11:$B$13,2,0),0)*K918</f>
        <v>3.99</v>
      </c>
      <c r="O918" s="10">
        <f>IF(I918="Sim",VLOOKUP("Call of Duty Pass",Parâmetros!$A$11:$B$13,2,0),0)*K918</f>
        <v>0</v>
      </c>
      <c r="P918" s="10">
        <f>(L918*K918+M918+N918+O918)*IF(F918="Promoção",1-Parâmetros!$B$22,1)</f>
        <v>30.990000000000002</v>
      </c>
      <c r="Q918" s="10">
        <f>Parâmetros!$B$20*K918</f>
        <v>12</v>
      </c>
      <c r="R918" s="10">
        <f>P918-Q918</f>
        <v>18.990000000000002</v>
      </c>
    </row>
    <row r="919" spans="1:18">
      <c r="A919">
        <v>918</v>
      </c>
      <c r="B919" s="8">
        <v>45521</v>
      </c>
      <c r="C919" t="s">
        <v>6</v>
      </c>
      <c r="D919" t="s">
        <v>46</v>
      </c>
      <c r="E919" t="s">
        <v>41</v>
      </c>
      <c r="F919" t="s">
        <v>52</v>
      </c>
      <c r="G919" t="s">
        <v>43</v>
      </c>
      <c r="H919" t="s">
        <v>44</v>
      </c>
      <c r="I919" t="s">
        <v>44</v>
      </c>
      <c r="J919" t="s">
        <v>45</v>
      </c>
      <c r="K919" s="9">
        <v>8</v>
      </c>
      <c r="L919" s="10">
        <f>IFERROR(VLOOKUP(C919,Parâmetros!$A$5:$D$7,IF(D919="Mensal",2,IF(D919="Trimestral",3,4)),0),0)</f>
        <v>9.99</v>
      </c>
      <c r="M919" s="10">
        <f>IF(G919="Sim",VLOOKUP("EA Play",Parâmetros!$A$11:$B$13,2,0),0)*K919</f>
        <v>39.92</v>
      </c>
      <c r="N919" s="10">
        <f>IF(H919="Sim",VLOOKUP("Minecraft Pass",Parâmetros!$A$11:$B$13,2,0),0)*K919</f>
        <v>0</v>
      </c>
      <c r="O919" s="10">
        <f>IF(I919="Sim",VLOOKUP("Call of Duty Pass",Parâmetros!$A$11:$B$13,2,0),0)*K919</f>
        <v>0</v>
      </c>
      <c r="P919" s="10">
        <f>(L919*K919+M919+N919+O919)*IF(F919="Promoção",1-Parâmetros!$B$22,1)</f>
        <v>119.84</v>
      </c>
      <c r="Q919" s="10">
        <f>Parâmetros!$B$20*K919</f>
        <v>96</v>
      </c>
      <c r="R919" s="10">
        <f>P919-Q919</f>
        <v>23.840000000000003</v>
      </c>
    </row>
    <row r="920" spans="1:18">
      <c r="A920">
        <v>919</v>
      </c>
      <c r="B920" s="8">
        <v>45795</v>
      </c>
      <c r="C920" t="s">
        <v>6</v>
      </c>
      <c r="D920" t="s">
        <v>46</v>
      </c>
      <c r="E920" t="s">
        <v>41</v>
      </c>
      <c r="F920" t="s">
        <v>54</v>
      </c>
      <c r="G920" t="s">
        <v>43</v>
      </c>
      <c r="H920" t="s">
        <v>44</v>
      </c>
      <c r="I920" t="s">
        <v>43</v>
      </c>
      <c r="J920" t="s">
        <v>45</v>
      </c>
      <c r="K920" s="9">
        <v>6</v>
      </c>
      <c r="L920" s="10">
        <f>IFERROR(VLOOKUP(C920,Parâmetros!$A$5:$D$7,IF(D920="Mensal",2,IF(D920="Trimestral",3,4)),0),0)</f>
        <v>9.99</v>
      </c>
      <c r="M920" s="10">
        <f>IF(G920="Sim",VLOOKUP("EA Play",Parâmetros!$A$11:$B$13,2,0),0)*K920</f>
        <v>29.94</v>
      </c>
      <c r="N920" s="10">
        <f>IF(H920="Sim",VLOOKUP("Minecraft Pass",Parâmetros!$A$11:$B$13,2,0),0)*K920</f>
        <v>0</v>
      </c>
      <c r="O920" s="10">
        <f>IF(I920="Sim",VLOOKUP("Call of Duty Pass",Parâmetros!$A$11:$B$13,2,0),0)*K920</f>
        <v>41.94</v>
      </c>
      <c r="P920" s="10">
        <f>(L920*K920+M920+N920+O920)*IF(F920="Promoção",1-Parâmetros!$B$22,1)</f>
        <v>118.63799999999999</v>
      </c>
      <c r="Q920" s="10">
        <f>Parâmetros!$B$20*K920</f>
        <v>72</v>
      </c>
      <c r="R920" s="10">
        <f>P920-Q920</f>
        <v>46.637999999999991</v>
      </c>
    </row>
    <row r="921" spans="1:18">
      <c r="A921">
        <v>920</v>
      </c>
      <c r="B921" s="8">
        <v>45336</v>
      </c>
      <c r="C921" t="s">
        <v>7</v>
      </c>
      <c r="D921" t="s">
        <v>46</v>
      </c>
      <c r="E921" t="s">
        <v>47</v>
      </c>
      <c r="F921" t="s">
        <v>48</v>
      </c>
      <c r="G921" t="s">
        <v>44</v>
      </c>
      <c r="H921" t="s">
        <v>43</v>
      </c>
      <c r="I921" t="s">
        <v>44</v>
      </c>
      <c r="J921" t="s">
        <v>49</v>
      </c>
      <c r="K921" s="9">
        <v>19</v>
      </c>
      <c r="L921" s="10">
        <f>IFERROR(VLOOKUP(C921,Parâmetros!$A$5:$D$7,IF(D921="Mensal",2,IF(D921="Trimestral",3,4)),0),0)</f>
        <v>14.99</v>
      </c>
      <c r="M921" s="10">
        <f>IF(G921="Sim",VLOOKUP("EA Play",Parâmetros!$A$11:$B$13,2,0),0)*K921</f>
        <v>0</v>
      </c>
      <c r="N921" s="10">
        <f>IF(H921="Sim",VLOOKUP("Minecraft Pass",Parâmetros!$A$11:$B$13,2,0),0)*K921</f>
        <v>75.81</v>
      </c>
      <c r="O921" s="10">
        <f>IF(I921="Sim",VLOOKUP("Call of Duty Pass",Parâmetros!$A$11:$B$13,2,0),0)*K921</f>
        <v>0</v>
      </c>
      <c r="P921" s="10">
        <f>(L921*K921+M921+N921+O921)*IF(F921="Promoção",1-Parâmetros!$B$22,1)</f>
        <v>360.62</v>
      </c>
      <c r="Q921" s="10">
        <f>Parâmetros!$B$20*K921</f>
        <v>228</v>
      </c>
      <c r="R921" s="10">
        <f>P921-Q921</f>
        <v>132.62</v>
      </c>
    </row>
    <row r="922" spans="1:18">
      <c r="A922">
        <v>921</v>
      </c>
      <c r="B922" s="8">
        <v>45648</v>
      </c>
      <c r="C922" t="s">
        <v>8</v>
      </c>
      <c r="D922" t="s">
        <v>46</v>
      </c>
      <c r="E922" t="s">
        <v>47</v>
      </c>
      <c r="F922" t="s">
        <v>42</v>
      </c>
      <c r="G922" t="s">
        <v>43</v>
      </c>
      <c r="H922" t="s">
        <v>44</v>
      </c>
      <c r="I922" t="s">
        <v>44</v>
      </c>
      <c r="J922" t="s">
        <v>45</v>
      </c>
      <c r="K922" s="9">
        <v>10</v>
      </c>
      <c r="L922" s="10">
        <f>IFERROR(VLOOKUP(C922,Parâmetros!$A$5:$D$7,IF(D922="Mensal",2,IF(D922="Trimestral",3,4)),0),0)</f>
        <v>21.99</v>
      </c>
      <c r="M922" s="10">
        <f>IF(G922="Sim",VLOOKUP("EA Play",Parâmetros!$A$11:$B$13,2,0),0)*K922</f>
        <v>49.900000000000006</v>
      </c>
      <c r="N922" s="10">
        <f>IF(H922="Sim",VLOOKUP("Minecraft Pass",Parâmetros!$A$11:$B$13,2,0),0)*K922</f>
        <v>0</v>
      </c>
      <c r="O922" s="10">
        <f>IF(I922="Sim",VLOOKUP("Call of Duty Pass",Parâmetros!$A$11:$B$13,2,0),0)*K922</f>
        <v>0</v>
      </c>
      <c r="P922" s="10">
        <f>(L922*K922+M922+N922+O922)*IF(F922="Promoção",1-Parâmetros!$B$22,1)</f>
        <v>269.79999999999995</v>
      </c>
      <c r="Q922" s="10">
        <f>Parâmetros!$B$20*K922</f>
        <v>120</v>
      </c>
      <c r="R922" s="10">
        <f>P922-Q922</f>
        <v>149.79999999999995</v>
      </c>
    </row>
    <row r="923" spans="1:18">
      <c r="A923">
        <v>922</v>
      </c>
      <c r="B923" s="8">
        <v>45963</v>
      </c>
      <c r="C923" t="s">
        <v>6</v>
      </c>
      <c r="D923" t="s">
        <v>46</v>
      </c>
      <c r="E923" t="s">
        <v>47</v>
      </c>
      <c r="F923" t="s">
        <v>52</v>
      </c>
      <c r="G923" t="s">
        <v>44</v>
      </c>
      <c r="H923" t="s">
        <v>44</v>
      </c>
      <c r="I923" t="s">
        <v>43</v>
      </c>
      <c r="J923" t="s">
        <v>49</v>
      </c>
      <c r="K923" s="9">
        <v>18</v>
      </c>
      <c r="L923" s="10">
        <f>IFERROR(VLOOKUP(C923,Parâmetros!$A$5:$D$7,IF(D923="Mensal",2,IF(D923="Trimestral",3,4)),0),0)</f>
        <v>9.99</v>
      </c>
      <c r="M923" s="10">
        <f>IF(G923="Sim",VLOOKUP("EA Play",Parâmetros!$A$11:$B$13,2,0),0)*K923</f>
        <v>0</v>
      </c>
      <c r="N923" s="10">
        <f>IF(H923="Sim",VLOOKUP("Minecraft Pass",Parâmetros!$A$11:$B$13,2,0),0)*K923</f>
        <v>0</v>
      </c>
      <c r="O923" s="10">
        <f>IF(I923="Sim",VLOOKUP("Call of Duty Pass",Parâmetros!$A$11:$B$13,2,0),0)*K923</f>
        <v>125.82000000000001</v>
      </c>
      <c r="P923" s="10">
        <f>(L923*K923+M923+N923+O923)*IF(F923="Promoção",1-Parâmetros!$B$22,1)</f>
        <v>305.64</v>
      </c>
      <c r="Q923" s="10">
        <f>Parâmetros!$B$20*K923</f>
        <v>216</v>
      </c>
      <c r="R923" s="10">
        <f>P923-Q923</f>
        <v>89.639999999999986</v>
      </c>
    </row>
    <row r="924" spans="1:18">
      <c r="A924">
        <v>923</v>
      </c>
      <c r="B924" s="8">
        <v>45440</v>
      </c>
      <c r="C924" t="s">
        <v>6</v>
      </c>
      <c r="D924" t="s">
        <v>50</v>
      </c>
      <c r="E924" t="s">
        <v>41</v>
      </c>
      <c r="F924" t="s">
        <v>42</v>
      </c>
      <c r="G924" t="s">
        <v>43</v>
      </c>
      <c r="H924" t="s">
        <v>44</v>
      </c>
      <c r="I924" t="s">
        <v>44</v>
      </c>
      <c r="J924" t="s">
        <v>49</v>
      </c>
      <c r="K924" s="9">
        <v>22</v>
      </c>
      <c r="L924" s="10">
        <f>IFERROR(VLOOKUP(C924,Parâmetros!$A$5:$D$7,IF(D924="Mensal",2,IF(D924="Trimestral",3,4)),0),0)</f>
        <v>99</v>
      </c>
      <c r="M924" s="10">
        <f>IF(G924="Sim",VLOOKUP("EA Play",Parâmetros!$A$11:$B$13,2,0),0)*K924</f>
        <v>109.78</v>
      </c>
      <c r="N924" s="10">
        <f>IF(H924="Sim",VLOOKUP("Minecraft Pass",Parâmetros!$A$11:$B$13,2,0),0)*K924</f>
        <v>0</v>
      </c>
      <c r="O924" s="10">
        <f>IF(I924="Sim",VLOOKUP("Call of Duty Pass",Parâmetros!$A$11:$B$13,2,0),0)*K924</f>
        <v>0</v>
      </c>
      <c r="P924" s="10">
        <f>(L924*K924+M924+N924+O924)*IF(F924="Promoção",1-Parâmetros!$B$22,1)</f>
        <v>2287.7800000000002</v>
      </c>
      <c r="Q924" s="10">
        <f>Parâmetros!$B$20*K924</f>
        <v>264</v>
      </c>
      <c r="R924" s="10">
        <f>P924-Q924</f>
        <v>2023.7800000000002</v>
      </c>
    </row>
    <row r="925" spans="1:18">
      <c r="A925">
        <v>924</v>
      </c>
      <c r="B925" s="8">
        <v>45433</v>
      </c>
      <c r="C925" t="s">
        <v>8</v>
      </c>
      <c r="D925" t="s">
        <v>40</v>
      </c>
      <c r="E925" t="s">
        <v>41</v>
      </c>
      <c r="F925" t="s">
        <v>48</v>
      </c>
      <c r="G925" t="s">
        <v>44</v>
      </c>
      <c r="H925" t="s">
        <v>44</v>
      </c>
      <c r="I925" t="s">
        <v>44</v>
      </c>
      <c r="J925" t="s">
        <v>45</v>
      </c>
      <c r="K925" s="9">
        <v>25</v>
      </c>
      <c r="L925" s="10">
        <f>IFERROR(VLOOKUP(C925,Parâmetros!$A$5:$D$7,IF(D925="Mensal",2,IF(D925="Trimestral",3,4)),0),0)</f>
        <v>59</v>
      </c>
      <c r="M925" s="10">
        <f>IF(G925="Sim",VLOOKUP("EA Play",Parâmetros!$A$11:$B$13,2,0),0)*K925</f>
        <v>0</v>
      </c>
      <c r="N925" s="10">
        <f>IF(H925="Sim",VLOOKUP("Minecraft Pass",Parâmetros!$A$11:$B$13,2,0),0)*K925</f>
        <v>0</v>
      </c>
      <c r="O925" s="10">
        <f>IF(I925="Sim",VLOOKUP("Call of Duty Pass",Parâmetros!$A$11:$B$13,2,0),0)*K925</f>
        <v>0</v>
      </c>
      <c r="P925" s="10">
        <f>(L925*K925+M925+N925+O925)*IF(F925="Promoção",1-Parâmetros!$B$22,1)</f>
        <v>1475</v>
      </c>
      <c r="Q925" s="10">
        <f>Parâmetros!$B$20*K925</f>
        <v>300</v>
      </c>
      <c r="R925" s="10">
        <f>P925-Q925</f>
        <v>1175</v>
      </c>
    </row>
    <row r="926" spans="1:18">
      <c r="A926">
        <v>925</v>
      </c>
      <c r="B926" s="8">
        <v>45377</v>
      </c>
      <c r="C926" t="s">
        <v>7</v>
      </c>
      <c r="D926" t="s">
        <v>46</v>
      </c>
      <c r="E926" t="s">
        <v>47</v>
      </c>
      <c r="F926" t="s">
        <v>52</v>
      </c>
      <c r="G926" t="s">
        <v>44</v>
      </c>
      <c r="H926" t="s">
        <v>44</v>
      </c>
      <c r="I926" t="s">
        <v>43</v>
      </c>
      <c r="J926" t="s">
        <v>49</v>
      </c>
      <c r="K926" s="9">
        <v>2</v>
      </c>
      <c r="L926" s="10">
        <f>IFERROR(VLOOKUP(C926,Parâmetros!$A$5:$D$7,IF(D926="Mensal",2,IF(D926="Trimestral",3,4)),0),0)</f>
        <v>14.99</v>
      </c>
      <c r="M926" s="10">
        <f>IF(G926="Sim",VLOOKUP("EA Play",Parâmetros!$A$11:$B$13,2,0),0)*K926</f>
        <v>0</v>
      </c>
      <c r="N926" s="10">
        <f>IF(H926="Sim",VLOOKUP("Minecraft Pass",Parâmetros!$A$11:$B$13,2,0),0)*K926</f>
        <v>0</v>
      </c>
      <c r="O926" s="10">
        <f>IF(I926="Sim",VLOOKUP("Call of Duty Pass",Parâmetros!$A$11:$B$13,2,0),0)*K926</f>
        <v>13.98</v>
      </c>
      <c r="P926" s="10">
        <f>(L926*K926+M926+N926+O926)*IF(F926="Promoção",1-Parâmetros!$B$22,1)</f>
        <v>43.96</v>
      </c>
      <c r="Q926" s="10">
        <f>Parâmetros!$B$20*K926</f>
        <v>24</v>
      </c>
      <c r="R926" s="10">
        <f>P926-Q926</f>
        <v>19.96</v>
      </c>
    </row>
    <row r="927" spans="1:18">
      <c r="A927">
        <v>926</v>
      </c>
      <c r="B927" s="8">
        <v>45663</v>
      </c>
      <c r="C927" t="s">
        <v>7</v>
      </c>
      <c r="D927" t="s">
        <v>50</v>
      </c>
      <c r="E927" t="s">
        <v>55</v>
      </c>
      <c r="F927" t="s">
        <v>42</v>
      </c>
      <c r="G927" t="s">
        <v>43</v>
      </c>
      <c r="H927" t="s">
        <v>44</v>
      </c>
      <c r="I927" t="s">
        <v>44</v>
      </c>
      <c r="J927" t="s">
        <v>45</v>
      </c>
      <c r="K927" s="9">
        <v>19</v>
      </c>
      <c r="L927" s="10">
        <f>IFERROR(VLOOKUP(C927,Parâmetros!$A$5:$D$7,IF(D927="Mensal",2,IF(D927="Trimestral",3,4)),0),0)</f>
        <v>149</v>
      </c>
      <c r="M927" s="10">
        <f>IF(G927="Sim",VLOOKUP("EA Play",Parâmetros!$A$11:$B$13,2,0),0)*K927</f>
        <v>94.81</v>
      </c>
      <c r="N927" s="10">
        <f>IF(H927="Sim",VLOOKUP("Minecraft Pass",Parâmetros!$A$11:$B$13,2,0),0)*K927</f>
        <v>0</v>
      </c>
      <c r="O927" s="10">
        <f>IF(I927="Sim",VLOOKUP("Call of Duty Pass",Parâmetros!$A$11:$B$13,2,0),0)*K927</f>
        <v>0</v>
      </c>
      <c r="P927" s="10">
        <f>(L927*K927+M927+N927+O927)*IF(F927="Promoção",1-Parâmetros!$B$22,1)</f>
        <v>2925.81</v>
      </c>
      <c r="Q927" s="10">
        <f>Parâmetros!$B$20*K927</f>
        <v>228</v>
      </c>
      <c r="R927" s="10">
        <f>P927-Q927</f>
        <v>2697.81</v>
      </c>
    </row>
    <row r="928" spans="1:18">
      <c r="A928">
        <v>927</v>
      </c>
      <c r="B928" s="8">
        <v>45763</v>
      </c>
      <c r="C928" t="s">
        <v>6</v>
      </c>
      <c r="D928" t="s">
        <v>50</v>
      </c>
      <c r="E928" t="s">
        <v>53</v>
      </c>
      <c r="F928" t="s">
        <v>54</v>
      </c>
      <c r="G928" t="s">
        <v>43</v>
      </c>
      <c r="H928" t="s">
        <v>44</v>
      </c>
      <c r="I928" t="s">
        <v>43</v>
      </c>
      <c r="J928" t="s">
        <v>49</v>
      </c>
      <c r="K928" s="9">
        <v>10</v>
      </c>
      <c r="L928" s="10">
        <f>IFERROR(VLOOKUP(C928,Parâmetros!$A$5:$D$7,IF(D928="Mensal",2,IF(D928="Trimestral",3,4)),0),0)</f>
        <v>99</v>
      </c>
      <c r="M928" s="10">
        <f>IF(G928="Sim",VLOOKUP("EA Play",Parâmetros!$A$11:$B$13,2,0),0)*K928</f>
        <v>49.900000000000006</v>
      </c>
      <c r="N928" s="10">
        <f>IF(H928="Sim",VLOOKUP("Minecraft Pass",Parâmetros!$A$11:$B$13,2,0),0)*K928</f>
        <v>0</v>
      </c>
      <c r="O928" s="10">
        <f>IF(I928="Sim",VLOOKUP("Call of Duty Pass",Parâmetros!$A$11:$B$13,2,0),0)*K928</f>
        <v>69.900000000000006</v>
      </c>
      <c r="P928" s="10">
        <f>(L928*K928+M928+N928+O928)*IF(F928="Promoção",1-Parâmetros!$B$22,1)</f>
        <v>998.82000000000016</v>
      </c>
      <c r="Q928" s="10">
        <f>Parâmetros!$B$20*K928</f>
        <v>120</v>
      </c>
      <c r="R928" s="10">
        <f>P928-Q928</f>
        <v>878.82000000000016</v>
      </c>
    </row>
    <row r="929" spans="1:18">
      <c r="A929">
        <v>928</v>
      </c>
      <c r="B929" s="8">
        <v>45678</v>
      </c>
      <c r="C929" t="s">
        <v>7</v>
      </c>
      <c r="D929" t="s">
        <v>40</v>
      </c>
      <c r="E929" t="s">
        <v>47</v>
      </c>
      <c r="F929" t="s">
        <v>42</v>
      </c>
      <c r="G929" t="s">
        <v>43</v>
      </c>
      <c r="H929" t="s">
        <v>44</v>
      </c>
      <c r="I929" t="s">
        <v>44</v>
      </c>
      <c r="J929" t="s">
        <v>45</v>
      </c>
      <c r="K929" s="9">
        <v>11</v>
      </c>
      <c r="L929" s="10">
        <f>IFERROR(VLOOKUP(C929,Parâmetros!$A$5:$D$7,IF(D929="Mensal",2,IF(D929="Trimestral",3,4)),0),0)</f>
        <v>40</v>
      </c>
      <c r="M929" s="10">
        <f>IF(G929="Sim",VLOOKUP("EA Play",Parâmetros!$A$11:$B$13,2,0),0)*K929</f>
        <v>54.89</v>
      </c>
      <c r="N929" s="10">
        <f>IF(H929="Sim",VLOOKUP("Minecraft Pass",Parâmetros!$A$11:$B$13,2,0),0)*K929</f>
        <v>0</v>
      </c>
      <c r="O929" s="10">
        <f>IF(I929="Sim",VLOOKUP("Call of Duty Pass",Parâmetros!$A$11:$B$13,2,0),0)*K929</f>
        <v>0</v>
      </c>
      <c r="P929" s="10">
        <f>(L929*K929+M929+N929+O929)*IF(F929="Promoção",1-Parâmetros!$B$22,1)</f>
        <v>494.89</v>
      </c>
      <c r="Q929" s="10">
        <f>Parâmetros!$B$20*K929</f>
        <v>132</v>
      </c>
      <c r="R929" s="10">
        <f>P929-Q929</f>
        <v>362.89</v>
      </c>
    </row>
    <row r="930" spans="1:18">
      <c r="A930">
        <v>929</v>
      </c>
      <c r="B930" s="8">
        <v>45322</v>
      </c>
      <c r="C930" t="s">
        <v>6</v>
      </c>
      <c r="D930" t="s">
        <v>46</v>
      </c>
      <c r="E930" t="s">
        <v>41</v>
      </c>
      <c r="F930" t="s">
        <v>42</v>
      </c>
      <c r="G930" t="s">
        <v>44</v>
      </c>
      <c r="H930" t="s">
        <v>44</v>
      </c>
      <c r="I930" t="s">
        <v>44</v>
      </c>
      <c r="J930" t="s">
        <v>49</v>
      </c>
      <c r="K930" s="9">
        <v>9</v>
      </c>
      <c r="L930" s="10">
        <f>IFERROR(VLOOKUP(C930,Parâmetros!$A$5:$D$7,IF(D930="Mensal",2,IF(D930="Trimestral",3,4)),0),0)</f>
        <v>9.99</v>
      </c>
      <c r="M930" s="10">
        <f>IF(G930="Sim",VLOOKUP("EA Play",Parâmetros!$A$11:$B$13,2,0),0)*K930</f>
        <v>0</v>
      </c>
      <c r="N930" s="10">
        <f>IF(H930="Sim",VLOOKUP("Minecraft Pass",Parâmetros!$A$11:$B$13,2,0),0)*K930</f>
        <v>0</v>
      </c>
      <c r="O930" s="10">
        <f>IF(I930="Sim",VLOOKUP("Call of Duty Pass",Parâmetros!$A$11:$B$13,2,0),0)*K930</f>
        <v>0</v>
      </c>
      <c r="P930" s="10">
        <f>(L930*K930+M930+N930+O930)*IF(F930="Promoção",1-Parâmetros!$B$22,1)</f>
        <v>89.91</v>
      </c>
      <c r="Q930" s="10">
        <f>Parâmetros!$B$20*K930</f>
        <v>108</v>
      </c>
      <c r="R930" s="10">
        <f>P930-Q930</f>
        <v>-18.090000000000003</v>
      </c>
    </row>
    <row r="931" spans="1:18">
      <c r="A931">
        <v>930</v>
      </c>
      <c r="B931" s="8">
        <v>45832</v>
      </c>
      <c r="C931" t="s">
        <v>7</v>
      </c>
      <c r="D931" t="s">
        <v>46</v>
      </c>
      <c r="E931" t="s">
        <v>41</v>
      </c>
      <c r="F931" t="s">
        <v>42</v>
      </c>
      <c r="G931" t="s">
        <v>44</v>
      </c>
      <c r="H931" t="s">
        <v>44</v>
      </c>
      <c r="I931" t="s">
        <v>43</v>
      </c>
      <c r="J931" t="s">
        <v>49</v>
      </c>
      <c r="K931" s="9">
        <v>3</v>
      </c>
      <c r="L931" s="10">
        <f>IFERROR(VLOOKUP(C931,Parâmetros!$A$5:$D$7,IF(D931="Mensal",2,IF(D931="Trimestral",3,4)),0),0)</f>
        <v>14.99</v>
      </c>
      <c r="M931" s="10">
        <f>IF(G931="Sim",VLOOKUP("EA Play",Parâmetros!$A$11:$B$13,2,0),0)*K931</f>
        <v>0</v>
      </c>
      <c r="N931" s="10">
        <f>IF(H931="Sim",VLOOKUP("Minecraft Pass",Parâmetros!$A$11:$B$13,2,0),0)*K931</f>
        <v>0</v>
      </c>
      <c r="O931" s="10">
        <f>IF(I931="Sim",VLOOKUP("Call of Duty Pass",Parâmetros!$A$11:$B$13,2,0),0)*K931</f>
        <v>20.97</v>
      </c>
      <c r="P931" s="10">
        <f>(L931*K931+M931+N931+O931)*IF(F931="Promoção",1-Parâmetros!$B$22,1)</f>
        <v>65.94</v>
      </c>
      <c r="Q931" s="10">
        <f>Parâmetros!$B$20*K931</f>
        <v>36</v>
      </c>
      <c r="R931" s="10">
        <f>P931-Q931</f>
        <v>29.939999999999998</v>
      </c>
    </row>
    <row r="932" spans="1:18">
      <c r="A932">
        <v>931</v>
      </c>
      <c r="B932" s="8">
        <v>45910</v>
      </c>
      <c r="C932" t="s">
        <v>8</v>
      </c>
      <c r="D932" t="s">
        <v>40</v>
      </c>
      <c r="E932" t="s">
        <v>41</v>
      </c>
      <c r="F932" t="s">
        <v>54</v>
      </c>
      <c r="G932" t="s">
        <v>44</v>
      </c>
      <c r="H932" t="s">
        <v>44</v>
      </c>
      <c r="I932" t="s">
        <v>44</v>
      </c>
      <c r="J932" t="s">
        <v>45</v>
      </c>
      <c r="K932" s="9">
        <v>33</v>
      </c>
      <c r="L932" s="10">
        <f>IFERROR(VLOOKUP(C932,Parâmetros!$A$5:$D$7,IF(D932="Mensal",2,IF(D932="Trimestral",3,4)),0),0)</f>
        <v>59</v>
      </c>
      <c r="M932" s="10">
        <f>IF(G932="Sim",VLOOKUP("EA Play",Parâmetros!$A$11:$B$13,2,0),0)*K932</f>
        <v>0</v>
      </c>
      <c r="N932" s="10">
        <f>IF(H932="Sim",VLOOKUP("Minecraft Pass",Parâmetros!$A$11:$B$13,2,0),0)*K932</f>
        <v>0</v>
      </c>
      <c r="O932" s="10">
        <f>IF(I932="Sim",VLOOKUP("Call of Duty Pass",Parâmetros!$A$11:$B$13,2,0),0)*K932</f>
        <v>0</v>
      </c>
      <c r="P932" s="10">
        <f>(L932*K932+M932+N932+O932)*IF(F932="Promoção",1-Parâmetros!$B$22,1)</f>
        <v>1752.3</v>
      </c>
      <c r="Q932" s="10">
        <f>Parâmetros!$B$20*K932</f>
        <v>396</v>
      </c>
      <c r="R932" s="10">
        <f>P932-Q932</f>
        <v>1356.3</v>
      </c>
    </row>
    <row r="933" spans="1:18">
      <c r="A933">
        <v>932</v>
      </c>
      <c r="B933" s="8">
        <v>45605</v>
      </c>
      <c r="C933" t="s">
        <v>7</v>
      </c>
      <c r="D933" t="s">
        <v>46</v>
      </c>
      <c r="E933" t="s">
        <v>41</v>
      </c>
      <c r="F933" t="s">
        <v>54</v>
      </c>
      <c r="G933" t="s">
        <v>44</v>
      </c>
      <c r="H933" t="s">
        <v>44</v>
      </c>
      <c r="I933" t="s">
        <v>43</v>
      </c>
      <c r="J933" t="s">
        <v>49</v>
      </c>
      <c r="K933" s="9">
        <v>4</v>
      </c>
      <c r="L933" s="10">
        <f>IFERROR(VLOOKUP(C933,Parâmetros!$A$5:$D$7,IF(D933="Mensal",2,IF(D933="Trimestral",3,4)),0),0)</f>
        <v>14.99</v>
      </c>
      <c r="M933" s="10">
        <f>IF(G933="Sim",VLOOKUP("EA Play",Parâmetros!$A$11:$B$13,2,0),0)*K933</f>
        <v>0</v>
      </c>
      <c r="N933" s="10">
        <f>IF(H933="Sim",VLOOKUP("Minecraft Pass",Parâmetros!$A$11:$B$13,2,0),0)*K933</f>
        <v>0</v>
      </c>
      <c r="O933" s="10">
        <f>IF(I933="Sim",VLOOKUP("Call of Duty Pass",Parâmetros!$A$11:$B$13,2,0),0)*K933</f>
        <v>27.96</v>
      </c>
      <c r="P933" s="10">
        <f>(L933*K933+M933+N933+O933)*IF(F933="Promoção",1-Parâmetros!$B$22,1)</f>
        <v>79.128</v>
      </c>
      <c r="Q933" s="10">
        <f>Parâmetros!$B$20*K933</f>
        <v>48</v>
      </c>
      <c r="R933" s="10">
        <f>P933-Q933</f>
        <v>31.128</v>
      </c>
    </row>
    <row r="934" spans="1:18">
      <c r="A934">
        <v>933</v>
      </c>
      <c r="B934" s="8">
        <v>45516</v>
      </c>
      <c r="C934" t="s">
        <v>6</v>
      </c>
      <c r="D934" t="s">
        <v>50</v>
      </c>
      <c r="E934" t="s">
        <v>53</v>
      </c>
      <c r="F934" t="s">
        <v>52</v>
      </c>
      <c r="G934" t="s">
        <v>43</v>
      </c>
      <c r="H934" t="s">
        <v>44</v>
      </c>
      <c r="I934" t="s">
        <v>44</v>
      </c>
      <c r="J934" t="s">
        <v>45</v>
      </c>
      <c r="K934" s="9">
        <v>26</v>
      </c>
      <c r="L934" s="10">
        <f>IFERROR(VLOOKUP(C934,Parâmetros!$A$5:$D$7,IF(D934="Mensal",2,IF(D934="Trimestral",3,4)),0),0)</f>
        <v>99</v>
      </c>
      <c r="M934" s="10">
        <f>IF(G934="Sim",VLOOKUP("EA Play",Parâmetros!$A$11:$B$13,2,0),0)*K934</f>
        <v>129.74</v>
      </c>
      <c r="N934" s="10">
        <f>IF(H934="Sim",VLOOKUP("Minecraft Pass",Parâmetros!$A$11:$B$13,2,0),0)*K934</f>
        <v>0</v>
      </c>
      <c r="O934" s="10">
        <f>IF(I934="Sim",VLOOKUP("Call of Duty Pass",Parâmetros!$A$11:$B$13,2,0),0)*K934</f>
        <v>0</v>
      </c>
      <c r="P934" s="10">
        <f>(L934*K934+M934+N934+O934)*IF(F934="Promoção",1-Parâmetros!$B$22,1)</f>
        <v>2703.74</v>
      </c>
      <c r="Q934" s="10">
        <f>Parâmetros!$B$20*K934</f>
        <v>312</v>
      </c>
      <c r="R934" s="10">
        <f>P934-Q934</f>
        <v>2391.7399999999998</v>
      </c>
    </row>
    <row r="935" spans="1:18">
      <c r="A935">
        <v>934</v>
      </c>
      <c r="B935" s="8">
        <v>45681</v>
      </c>
      <c r="C935" t="s">
        <v>6</v>
      </c>
      <c r="D935" t="s">
        <v>50</v>
      </c>
      <c r="E935" t="s">
        <v>51</v>
      </c>
      <c r="F935" t="s">
        <v>42</v>
      </c>
      <c r="G935" t="s">
        <v>43</v>
      </c>
      <c r="H935" t="s">
        <v>43</v>
      </c>
      <c r="I935" t="s">
        <v>44</v>
      </c>
      <c r="J935" t="s">
        <v>45</v>
      </c>
      <c r="K935" s="9">
        <v>2</v>
      </c>
      <c r="L935" s="10">
        <f>IFERROR(VLOOKUP(C935,Parâmetros!$A$5:$D$7,IF(D935="Mensal",2,IF(D935="Trimestral",3,4)),0),0)</f>
        <v>99</v>
      </c>
      <c r="M935" s="10">
        <f>IF(G935="Sim",VLOOKUP("EA Play",Parâmetros!$A$11:$B$13,2,0),0)*K935</f>
        <v>9.98</v>
      </c>
      <c r="N935" s="10">
        <f>IF(H935="Sim",VLOOKUP("Minecraft Pass",Parâmetros!$A$11:$B$13,2,0),0)*K935</f>
        <v>7.98</v>
      </c>
      <c r="O935" s="10">
        <f>IF(I935="Sim",VLOOKUP("Call of Duty Pass",Parâmetros!$A$11:$B$13,2,0),0)*K935</f>
        <v>0</v>
      </c>
      <c r="P935" s="10">
        <f>(L935*K935+M935+N935+O935)*IF(F935="Promoção",1-Parâmetros!$B$22,1)</f>
        <v>215.95999999999998</v>
      </c>
      <c r="Q935" s="10">
        <f>Parâmetros!$B$20*K935</f>
        <v>24</v>
      </c>
      <c r="R935" s="10">
        <f>P935-Q935</f>
        <v>191.95999999999998</v>
      </c>
    </row>
    <row r="936" spans="1:18">
      <c r="A936">
        <v>935</v>
      </c>
      <c r="B936" s="8">
        <v>45537</v>
      </c>
      <c r="C936" t="s">
        <v>6</v>
      </c>
      <c r="D936" t="s">
        <v>40</v>
      </c>
      <c r="E936" t="s">
        <v>41</v>
      </c>
      <c r="F936" t="s">
        <v>48</v>
      </c>
      <c r="G936" t="s">
        <v>44</v>
      </c>
      <c r="H936" t="s">
        <v>43</v>
      </c>
      <c r="I936" t="s">
        <v>44</v>
      </c>
      <c r="J936" t="s">
        <v>45</v>
      </c>
      <c r="K936" s="9">
        <v>3</v>
      </c>
      <c r="L936" s="10">
        <f>IFERROR(VLOOKUP(C936,Parâmetros!$A$5:$D$7,IF(D936="Mensal",2,IF(D936="Trimestral",3,4)),0),0)</f>
        <v>27</v>
      </c>
      <c r="M936" s="10">
        <f>IF(G936="Sim",VLOOKUP("EA Play",Parâmetros!$A$11:$B$13,2,0),0)*K936</f>
        <v>0</v>
      </c>
      <c r="N936" s="10">
        <f>IF(H936="Sim",VLOOKUP("Minecraft Pass",Parâmetros!$A$11:$B$13,2,0),0)*K936</f>
        <v>11.97</v>
      </c>
      <c r="O936" s="10">
        <f>IF(I936="Sim",VLOOKUP("Call of Duty Pass",Parâmetros!$A$11:$B$13,2,0),0)*K936</f>
        <v>0</v>
      </c>
      <c r="P936" s="10">
        <f>(L936*K936+M936+N936+O936)*IF(F936="Promoção",1-Parâmetros!$B$22,1)</f>
        <v>92.97</v>
      </c>
      <c r="Q936" s="10">
        <f>Parâmetros!$B$20*K936</f>
        <v>36</v>
      </c>
      <c r="R936" s="10">
        <f>P936-Q936</f>
        <v>56.97</v>
      </c>
    </row>
    <row r="937" spans="1:18">
      <c r="A937">
        <v>936</v>
      </c>
      <c r="B937" s="8">
        <v>45538</v>
      </c>
      <c r="C937" t="s">
        <v>6</v>
      </c>
      <c r="D937" t="s">
        <v>50</v>
      </c>
      <c r="E937" t="s">
        <v>47</v>
      </c>
      <c r="F937" t="s">
        <v>48</v>
      </c>
      <c r="G937" t="s">
        <v>44</v>
      </c>
      <c r="H937" t="s">
        <v>43</v>
      </c>
      <c r="I937" t="s">
        <v>44</v>
      </c>
      <c r="J937" t="s">
        <v>45</v>
      </c>
      <c r="K937" s="9">
        <v>1</v>
      </c>
      <c r="L937" s="10">
        <f>IFERROR(VLOOKUP(C937,Parâmetros!$A$5:$D$7,IF(D937="Mensal",2,IF(D937="Trimestral",3,4)),0),0)</f>
        <v>99</v>
      </c>
      <c r="M937" s="10">
        <f>IF(G937="Sim",VLOOKUP("EA Play",Parâmetros!$A$11:$B$13,2,0),0)*K937</f>
        <v>0</v>
      </c>
      <c r="N937" s="10">
        <f>IF(H937="Sim",VLOOKUP("Minecraft Pass",Parâmetros!$A$11:$B$13,2,0),0)*K937</f>
        <v>3.99</v>
      </c>
      <c r="O937" s="10">
        <f>IF(I937="Sim",VLOOKUP("Call of Duty Pass",Parâmetros!$A$11:$B$13,2,0),0)*K937</f>
        <v>0</v>
      </c>
      <c r="P937" s="10">
        <f>(L937*K937+M937+N937+O937)*IF(F937="Promoção",1-Parâmetros!$B$22,1)</f>
        <v>102.99</v>
      </c>
      <c r="Q937" s="10">
        <f>Parâmetros!$B$20*K937</f>
        <v>12</v>
      </c>
      <c r="R937" s="10">
        <f>P937-Q937</f>
        <v>90.99</v>
      </c>
    </row>
    <row r="938" spans="1:18">
      <c r="A938">
        <v>937</v>
      </c>
      <c r="B938" s="8">
        <v>45657</v>
      </c>
      <c r="C938" t="s">
        <v>8</v>
      </c>
      <c r="D938" t="s">
        <v>50</v>
      </c>
      <c r="E938" t="s">
        <v>47</v>
      </c>
      <c r="F938" t="s">
        <v>42</v>
      </c>
      <c r="G938" t="s">
        <v>43</v>
      </c>
      <c r="H938" t="s">
        <v>43</v>
      </c>
      <c r="I938" t="s">
        <v>43</v>
      </c>
      <c r="J938" t="s">
        <v>45</v>
      </c>
      <c r="K938" s="9">
        <v>22</v>
      </c>
      <c r="L938" s="10">
        <f>IFERROR(VLOOKUP(C938,Parâmetros!$A$5:$D$7,IF(D938="Mensal",2,IF(D938="Trimestral",3,4)),0),0)</f>
        <v>219</v>
      </c>
      <c r="M938" s="10">
        <f>IF(G938="Sim",VLOOKUP("EA Play",Parâmetros!$A$11:$B$13,2,0),0)*K938</f>
        <v>109.78</v>
      </c>
      <c r="N938" s="10">
        <f>IF(H938="Sim",VLOOKUP("Minecraft Pass",Parâmetros!$A$11:$B$13,2,0),0)*K938</f>
        <v>87.78</v>
      </c>
      <c r="O938" s="10">
        <f>IF(I938="Sim",VLOOKUP("Call of Duty Pass",Parâmetros!$A$11:$B$13,2,0),0)*K938</f>
        <v>153.78</v>
      </c>
      <c r="P938" s="10">
        <f>(L938*K938+M938+N938+O938)*IF(F938="Promoção",1-Parâmetros!$B$22,1)</f>
        <v>5169.3399999999992</v>
      </c>
      <c r="Q938" s="10">
        <f>Parâmetros!$B$20*K938</f>
        <v>264</v>
      </c>
      <c r="R938" s="10">
        <f>P938-Q938</f>
        <v>4905.3399999999992</v>
      </c>
    </row>
    <row r="939" spans="1:18">
      <c r="A939">
        <v>938</v>
      </c>
      <c r="B939" s="8">
        <v>45709</v>
      </c>
      <c r="C939" t="s">
        <v>8</v>
      </c>
      <c r="D939" t="s">
        <v>40</v>
      </c>
      <c r="E939" t="s">
        <v>47</v>
      </c>
      <c r="F939" t="s">
        <v>52</v>
      </c>
      <c r="G939" t="s">
        <v>43</v>
      </c>
      <c r="H939" t="s">
        <v>44</v>
      </c>
      <c r="I939" t="s">
        <v>44</v>
      </c>
      <c r="J939" t="s">
        <v>45</v>
      </c>
      <c r="K939" s="9">
        <v>3</v>
      </c>
      <c r="L939" s="10">
        <f>IFERROR(VLOOKUP(C939,Parâmetros!$A$5:$D$7,IF(D939="Mensal",2,IF(D939="Trimestral",3,4)),0),0)</f>
        <v>59</v>
      </c>
      <c r="M939" s="10">
        <f>IF(G939="Sim",VLOOKUP("EA Play",Parâmetros!$A$11:$B$13,2,0),0)*K939</f>
        <v>14.97</v>
      </c>
      <c r="N939" s="10">
        <f>IF(H939="Sim",VLOOKUP("Minecraft Pass",Parâmetros!$A$11:$B$13,2,0),0)*K939</f>
        <v>0</v>
      </c>
      <c r="O939" s="10">
        <f>IF(I939="Sim",VLOOKUP("Call of Duty Pass",Parâmetros!$A$11:$B$13,2,0),0)*K939</f>
        <v>0</v>
      </c>
      <c r="P939" s="10">
        <f>(L939*K939+M939+N939+O939)*IF(F939="Promoção",1-Parâmetros!$B$22,1)</f>
        <v>191.97</v>
      </c>
      <c r="Q939" s="10">
        <f>Parâmetros!$B$20*K939</f>
        <v>36</v>
      </c>
      <c r="R939" s="10">
        <f>P939-Q939</f>
        <v>155.97</v>
      </c>
    </row>
    <row r="940" spans="1:18">
      <c r="A940">
        <v>939</v>
      </c>
      <c r="B940" s="8">
        <v>45589</v>
      </c>
      <c r="C940" t="s">
        <v>6</v>
      </c>
      <c r="D940" t="s">
        <v>40</v>
      </c>
      <c r="E940" t="s">
        <v>41</v>
      </c>
      <c r="F940" t="s">
        <v>52</v>
      </c>
      <c r="G940" t="s">
        <v>44</v>
      </c>
      <c r="H940" t="s">
        <v>43</v>
      </c>
      <c r="I940" t="s">
        <v>43</v>
      </c>
      <c r="J940" t="s">
        <v>45</v>
      </c>
      <c r="K940" s="9">
        <v>10</v>
      </c>
      <c r="L940" s="10">
        <f>IFERROR(VLOOKUP(C940,Parâmetros!$A$5:$D$7,IF(D940="Mensal",2,IF(D940="Trimestral",3,4)),0),0)</f>
        <v>27</v>
      </c>
      <c r="M940" s="10">
        <f>IF(G940="Sim",VLOOKUP("EA Play",Parâmetros!$A$11:$B$13,2,0),0)*K940</f>
        <v>0</v>
      </c>
      <c r="N940" s="10">
        <f>IF(H940="Sim",VLOOKUP("Minecraft Pass",Parâmetros!$A$11:$B$13,2,0),0)*K940</f>
        <v>39.900000000000006</v>
      </c>
      <c r="O940" s="10">
        <f>IF(I940="Sim",VLOOKUP("Call of Duty Pass",Parâmetros!$A$11:$B$13,2,0),0)*K940</f>
        <v>69.900000000000006</v>
      </c>
      <c r="P940" s="10">
        <f>(L940*K940+M940+N940+O940)*IF(F940="Promoção",1-Parâmetros!$B$22,1)</f>
        <v>379.79999999999995</v>
      </c>
      <c r="Q940" s="10">
        <f>Parâmetros!$B$20*K940</f>
        <v>120</v>
      </c>
      <c r="R940" s="10">
        <f>P940-Q940</f>
        <v>259.79999999999995</v>
      </c>
    </row>
    <row r="941" spans="1:18">
      <c r="A941">
        <v>940</v>
      </c>
      <c r="B941" s="8">
        <v>45456</v>
      </c>
      <c r="C941" t="s">
        <v>8</v>
      </c>
      <c r="D941" t="s">
        <v>40</v>
      </c>
      <c r="E941" t="s">
        <v>53</v>
      </c>
      <c r="F941" t="s">
        <v>52</v>
      </c>
      <c r="G941" t="s">
        <v>44</v>
      </c>
      <c r="H941" t="s">
        <v>44</v>
      </c>
      <c r="I941" t="s">
        <v>44</v>
      </c>
      <c r="J941" t="s">
        <v>49</v>
      </c>
      <c r="K941" s="9">
        <v>19</v>
      </c>
      <c r="L941" s="10">
        <f>IFERROR(VLOOKUP(C941,Parâmetros!$A$5:$D$7,IF(D941="Mensal",2,IF(D941="Trimestral",3,4)),0),0)</f>
        <v>59</v>
      </c>
      <c r="M941" s="10">
        <f>IF(G941="Sim",VLOOKUP("EA Play",Parâmetros!$A$11:$B$13,2,0),0)*K941</f>
        <v>0</v>
      </c>
      <c r="N941" s="10">
        <f>IF(H941="Sim",VLOOKUP("Minecraft Pass",Parâmetros!$A$11:$B$13,2,0),0)*K941</f>
        <v>0</v>
      </c>
      <c r="O941" s="10">
        <f>IF(I941="Sim",VLOOKUP("Call of Duty Pass",Parâmetros!$A$11:$B$13,2,0),0)*K941</f>
        <v>0</v>
      </c>
      <c r="P941" s="10">
        <f>(L941*K941+M941+N941+O941)*IF(F941="Promoção",1-Parâmetros!$B$22,1)</f>
        <v>1121</v>
      </c>
      <c r="Q941" s="10">
        <f>Parâmetros!$B$20*K941</f>
        <v>228</v>
      </c>
      <c r="R941" s="10">
        <f>P941-Q941</f>
        <v>893</v>
      </c>
    </row>
    <row r="942" spans="1:18">
      <c r="A942">
        <v>941</v>
      </c>
      <c r="B942" s="8">
        <v>45660</v>
      </c>
      <c r="C942" t="s">
        <v>7</v>
      </c>
      <c r="D942" t="s">
        <v>50</v>
      </c>
      <c r="E942" t="s">
        <v>41</v>
      </c>
      <c r="F942" t="s">
        <v>52</v>
      </c>
      <c r="G942" t="s">
        <v>44</v>
      </c>
      <c r="H942" t="s">
        <v>43</v>
      </c>
      <c r="I942" t="s">
        <v>44</v>
      </c>
      <c r="J942" t="s">
        <v>45</v>
      </c>
      <c r="K942" s="9">
        <v>10</v>
      </c>
      <c r="L942" s="10">
        <f>IFERROR(VLOOKUP(C942,Parâmetros!$A$5:$D$7,IF(D942="Mensal",2,IF(D942="Trimestral",3,4)),0),0)</f>
        <v>149</v>
      </c>
      <c r="M942" s="10">
        <f>IF(G942="Sim",VLOOKUP("EA Play",Parâmetros!$A$11:$B$13,2,0),0)*K942</f>
        <v>0</v>
      </c>
      <c r="N942" s="10">
        <f>IF(H942="Sim",VLOOKUP("Minecraft Pass",Parâmetros!$A$11:$B$13,2,0),0)*K942</f>
        <v>39.900000000000006</v>
      </c>
      <c r="O942" s="10">
        <f>IF(I942="Sim",VLOOKUP("Call of Duty Pass",Parâmetros!$A$11:$B$13,2,0),0)*K942</f>
        <v>0</v>
      </c>
      <c r="P942" s="10">
        <f>(L942*K942+M942+N942+O942)*IF(F942="Promoção",1-Parâmetros!$B$22,1)</f>
        <v>1529.9</v>
      </c>
      <c r="Q942" s="10">
        <f>Parâmetros!$B$20*K942</f>
        <v>120</v>
      </c>
      <c r="R942" s="10">
        <f>P942-Q942</f>
        <v>1409.9</v>
      </c>
    </row>
    <row r="943" spans="1:18">
      <c r="A943">
        <v>942</v>
      </c>
      <c r="B943" s="8">
        <v>45872</v>
      </c>
      <c r="C943" t="s">
        <v>7</v>
      </c>
      <c r="D943" t="s">
        <v>46</v>
      </c>
      <c r="E943" t="s">
        <v>51</v>
      </c>
      <c r="F943" t="s">
        <v>42</v>
      </c>
      <c r="G943" t="s">
        <v>44</v>
      </c>
      <c r="H943" t="s">
        <v>44</v>
      </c>
      <c r="I943" t="s">
        <v>44</v>
      </c>
      <c r="J943" t="s">
        <v>45</v>
      </c>
      <c r="K943" s="9">
        <v>6</v>
      </c>
      <c r="L943" s="10">
        <f>IFERROR(VLOOKUP(C943,Parâmetros!$A$5:$D$7,IF(D943="Mensal",2,IF(D943="Trimestral",3,4)),0),0)</f>
        <v>14.99</v>
      </c>
      <c r="M943" s="10">
        <f>IF(G943="Sim",VLOOKUP("EA Play",Parâmetros!$A$11:$B$13,2,0),0)*K943</f>
        <v>0</v>
      </c>
      <c r="N943" s="10">
        <f>IF(H943="Sim",VLOOKUP("Minecraft Pass",Parâmetros!$A$11:$B$13,2,0),0)*K943</f>
        <v>0</v>
      </c>
      <c r="O943" s="10">
        <f>IF(I943="Sim",VLOOKUP("Call of Duty Pass",Parâmetros!$A$11:$B$13,2,0),0)*K943</f>
        <v>0</v>
      </c>
      <c r="P943" s="10">
        <f>(L943*K943+M943+N943+O943)*IF(F943="Promoção",1-Parâmetros!$B$22,1)</f>
        <v>89.94</v>
      </c>
      <c r="Q943" s="10">
        <f>Parâmetros!$B$20*K943</f>
        <v>72</v>
      </c>
      <c r="R943" s="10">
        <f>P943-Q943</f>
        <v>17.939999999999998</v>
      </c>
    </row>
    <row r="944" spans="1:18">
      <c r="A944">
        <v>943</v>
      </c>
      <c r="B944" s="8">
        <v>45802</v>
      </c>
      <c r="C944" t="s">
        <v>6</v>
      </c>
      <c r="D944" t="s">
        <v>46</v>
      </c>
      <c r="E944" t="s">
        <v>55</v>
      </c>
      <c r="F944" t="s">
        <v>42</v>
      </c>
      <c r="G944" t="s">
        <v>43</v>
      </c>
      <c r="H944" t="s">
        <v>43</v>
      </c>
      <c r="I944" t="s">
        <v>43</v>
      </c>
      <c r="J944" t="s">
        <v>49</v>
      </c>
      <c r="K944" s="9">
        <v>30</v>
      </c>
      <c r="L944" s="10">
        <f>IFERROR(VLOOKUP(C944,Parâmetros!$A$5:$D$7,IF(D944="Mensal",2,IF(D944="Trimestral",3,4)),0),0)</f>
        <v>9.99</v>
      </c>
      <c r="M944" s="10">
        <f>IF(G944="Sim",VLOOKUP("EA Play",Parâmetros!$A$11:$B$13,2,0),0)*K944</f>
        <v>149.70000000000002</v>
      </c>
      <c r="N944" s="10">
        <f>IF(H944="Sim",VLOOKUP("Minecraft Pass",Parâmetros!$A$11:$B$13,2,0),0)*K944</f>
        <v>119.7</v>
      </c>
      <c r="O944" s="10">
        <f>IF(I944="Sim",VLOOKUP("Call of Duty Pass",Parâmetros!$A$11:$B$13,2,0),0)*K944</f>
        <v>209.70000000000002</v>
      </c>
      <c r="P944" s="10">
        <f>(L944*K944+M944+N944+O944)*IF(F944="Promoção",1-Parâmetros!$B$22,1)</f>
        <v>778.80000000000007</v>
      </c>
      <c r="Q944" s="10">
        <f>Parâmetros!$B$20*K944</f>
        <v>360</v>
      </c>
      <c r="R944" s="10">
        <f>P944-Q944</f>
        <v>418.80000000000007</v>
      </c>
    </row>
    <row r="945" spans="1:18">
      <c r="A945">
        <v>944</v>
      </c>
      <c r="B945" s="8">
        <v>45556</v>
      </c>
      <c r="C945" t="s">
        <v>8</v>
      </c>
      <c r="D945" t="s">
        <v>50</v>
      </c>
      <c r="E945" t="s">
        <v>51</v>
      </c>
      <c r="F945" t="s">
        <v>48</v>
      </c>
      <c r="G945" t="s">
        <v>44</v>
      </c>
      <c r="H945" t="s">
        <v>44</v>
      </c>
      <c r="I945" t="s">
        <v>44</v>
      </c>
      <c r="J945" t="s">
        <v>49</v>
      </c>
      <c r="K945" s="9">
        <v>24</v>
      </c>
      <c r="L945" s="10">
        <f>IFERROR(VLOOKUP(C945,Parâmetros!$A$5:$D$7,IF(D945="Mensal",2,IF(D945="Trimestral",3,4)),0),0)</f>
        <v>219</v>
      </c>
      <c r="M945" s="10">
        <f>IF(G945="Sim",VLOOKUP("EA Play",Parâmetros!$A$11:$B$13,2,0),0)*K945</f>
        <v>0</v>
      </c>
      <c r="N945" s="10">
        <f>IF(H945="Sim",VLOOKUP("Minecraft Pass",Parâmetros!$A$11:$B$13,2,0),0)*K945</f>
        <v>0</v>
      </c>
      <c r="O945" s="10">
        <f>IF(I945="Sim",VLOOKUP("Call of Duty Pass",Parâmetros!$A$11:$B$13,2,0),0)*K945</f>
        <v>0</v>
      </c>
      <c r="P945" s="10">
        <f>(L945*K945+M945+N945+O945)*IF(F945="Promoção",1-Parâmetros!$B$22,1)</f>
        <v>5256</v>
      </c>
      <c r="Q945" s="10">
        <f>Parâmetros!$B$20*K945</f>
        <v>288</v>
      </c>
      <c r="R945" s="10">
        <f>P945-Q945</f>
        <v>4968</v>
      </c>
    </row>
    <row r="946" spans="1:18">
      <c r="A946">
        <v>945</v>
      </c>
      <c r="B946" s="8">
        <v>45585</v>
      </c>
      <c r="C946" t="s">
        <v>7</v>
      </c>
      <c r="D946" t="s">
        <v>50</v>
      </c>
      <c r="E946" t="s">
        <v>55</v>
      </c>
      <c r="F946" t="s">
        <v>42</v>
      </c>
      <c r="G946" t="s">
        <v>43</v>
      </c>
      <c r="H946" t="s">
        <v>44</v>
      </c>
      <c r="I946" t="s">
        <v>44</v>
      </c>
      <c r="J946" t="s">
        <v>49</v>
      </c>
      <c r="K946" s="9">
        <v>27</v>
      </c>
      <c r="L946" s="10">
        <f>IFERROR(VLOOKUP(C946,Parâmetros!$A$5:$D$7,IF(D946="Mensal",2,IF(D946="Trimestral",3,4)),0),0)</f>
        <v>149</v>
      </c>
      <c r="M946" s="10">
        <f>IF(G946="Sim",VLOOKUP("EA Play",Parâmetros!$A$11:$B$13,2,0),0)*K946</f>
        <v>134.73000000000002</v>
      </c>
      <c r="N946" s="10">
        <f>IF(H946="Sim",VLOOKUP("Minecraft Pass",Parâmetros!$A$11:$B$13,2,0),0)*K946</f>
        <v>0</v>
      </c>
      <c r="O946" s="10">
        <f>IF(I946="Sim",VLOOKUP("Call of Duty Pass",Parâmetros!$A$11:$B$13,2,0),0)*K946</f>
        <v>0</v>
      </c>
      <c r="P946" s="10">
        <f>(L946*K946+M946+N946+O946)*IF(F946="Promoção",1-Parâmetros!$B$22,1)</f>
        <v>4157.7299999999996</v>
      </c>
      <c r="Q946" s="10">
        <f>Parâmetros!$B$20*K946</f>
        <v>324</v>
      </c>
      <c r="R946" s="10">
        <f>P946-Q946</f>
        <v>3833.7299999999996</v>
      </c>
    </row>
    <row r="947" spans="1:18">
      <c r="A947">
        <v>946</v>
      </c>
      <c r="B947" s="8">
        <v>45810</v>
      </c>
      <c r="C947" t="s">
        <v>7</v>
      </c>
      <c r="D947" t="s">
        <v>50</v>
      </c>
      <c r="E947" t="s">
        <v>53</v>
      </c>
      <c r="F947" t="s">
        <v>42</v>
      </c>
      <c r="G947" t="s">
        <v>44</v>
      </c>
      <c r="H947" t="s">
        <v>43</v>
      </c>
      <c r="I947" t="s">
        <v>44</v>
      </c>
      <c r="J947" t="s">
        <v>45</v>
      </c>
      <c r="K947" s="9">
        <v>1</v>
      </c>
      <c r="L947" s="10">
        <f>IFERROR(VLOOKUP(C947,Parâmetros!$A$5:$D$7,IF(D947="Mensal",2,IF(D947="Trimestral",3,4)),0),0)</f>
        <v>149</v>
      </c>
      <c r="M947" s="10">
        <f>IF(G947="Sim",VLOOKUP("EA Play",Parâmetros!$A$11:$B$13,2,0),0)*K947</f>
        <v>0</v>
      </c>
      <c r="N947" s="10">
        <f>IF(H947="Sim",VLOOKUP("Minecraft Pass",Parâmetros!$A$11:$B$13,2,0),0)*K947</f>
        <v>3.99</v>
      </c>
      <c r="O947" s="10">
        <f>IF(I947="Sim",VLOOKUP("Call of Duty Pass",Parâmetros!$A$11:$B$13,2,0),0)*K947</f>
        <v>0</v>
      </c>
      <c r="P947" s="10">
        <f>(L947*K947+M947+N947+O947)*IF(F947="Promoção",1-Parâmetros!$B$22,1)</f>
        <v>152.99</v>
      </c>
      <c r="Q947" s="10">
        <f>Parâmetros!$B$20*K947</f>
        <v>12</v>
      </c>
      <c r="R947" s="10">
        <f>P947-Q947</f>
        <v>140.99</v>
      </c>
    </row>
    <row r="948" spans="1:18">
      <c r="A948">
        <v>947</v>
      </c>
      <c r="B948" s="8">
        <v>45450</v>
      </c>
      <c r="C948" t="s">
        <v>8</v>
      </c>
      <c r="D948" t="s">
        <v>46</v>
      </c>
      <c r="E948" t="s">
        <v>41</v>
      </c>
      <c r="F948" t="s">
        <v>42</v>
      </c>
      <c r="G948" t="s">
        <v>43</v>
      </c>
      <c r="H948" t="s">
        <v>43</v>
      </c>
      <c r="I948" t="s">
        <v>44</v>
      </c>
      <c r="J948" t="s">
        <v>49</v>
      </c>
      <c r="K948" s="9">
        <v>30</v>
      </c>
      <c r="L948" s="10">
        <f>IFERROR(VLOOKUP(C948,Parâmetros!$A$5:$D$7,IF(D948="Mensal",2,IF(D948="Trimestral",3,4)),0),0)</f>
        <v>21.99</v>
      </c>
      <c r="M948" s="10">
        <f>IF(G948="Sim",VLOOKUP("EA Play",Parâmetros!$A$11:$B$13,2,0),0)*K948</f>
        <v>149.70000000000002</v>
      </c>
      <c r="N948" s="10">
        <f>IF(H948="Sim",VLOOKUP("Minecraft Pass",Parâmetros!$A$11:$B$13,2,0),0)*K948</f>
        <v>119.7</v>
      </c>
      <c r="O948" s="10">
        <f>IF(I948="Sim",VLOOKUP("Call of Duty Pass",Parâmetros!$A$11:$B$13,2,0),0)*K948</f>
        <v>0</v>
      </c>
      <c r="P948" s="10">
        <f>(L948*K948+M948+N948+O948)*IF(F948="Promoção",1-Parâmetros!$B$22,1)</f>
        <v>929.1</v>
      </c>
      <c r="Q948" s="10">
        <f>Parâmetros!$B$20*K948</f>
        <v>360</v>
      </c>
      <c r="R948" s="10">
        <f>P948-Q948</f>
        <v>569.1</v>
      </c>
    </row>
    <row r="949" spans="1:18">
      <c r="A949">
        <v>948</v>
      </c>
      <c r="B949" s="8">
        <v>45771</v>
      </c>
      <c r="C949" t="s">
        <v>7</v>
      </c>
      <c r="D949" t="s">
        <v>50</v>
      </c>
      <c r="E949" t="s">
        <v>47</v>
      </c>
      <c r="F949" t="s">
        <v>42</v>
      </c>
      <c r="G949" t="s">
        <v>44</v>
      </c>
      <c r="H949" t="s">
        <v>44</v>
      </c>
      <c r="I949" t="s">
        <v>44</v>
      </c>
      <c r="J949" t="s">
        <v>45</v>
      </c>
      <c r="K949" s="9">
        <v>13</v>
      </c>
      <c r="L949" s="10">
        <f>IFERROR(VLOOKUP(C949,Parâmetros!$A$5:$D$7,IF(D949="Mensal",2,IF(D949="Trimestral",3,4)),0),0)</f>
        <v>149</v>
      </c>
      <c r="M949" s="10">
        <f>IF(G949="Sim",VLOOKUP("EA Play",Parâmetros!$A$11:$B$13,2,0),0)*K949</f>
        <v>0</v>
      </c>
      <c r="N949" s="10">
        <f>IF(H949="Sim",VLOOKUP("Minecraft Pass",Parâmetros!$A$11:$B$13,2,0),0)*K949</f>
        <v>0</v>
      </c>
      <c r="O949" s="10">
        <f>IF(I949="Sim",VLOOKUP("Call of Duty Pass",Parâmetros!$A$11:$B$13,2,0),0)*K949</f>
        <v>0</v>
      </c>
      <c r="P949" s="10">
        <f>(L949*K949+M949+N949+O949)*IF(F949="Promoção",1-Parâmetros!$B$22,1)</f>
        <v>1937</v>
      </c>
      <c r="Q949" s="10">
        <f>Parâmetros!$B$20*K949</f>
        <v>156</v>
      </c>
      <c r="R949" s="10">
        <f>P949-Q949</f>
        <v>1781</v>
      </c>
    </row>
    <row r="950" spans="1:18">
      <c r="A950">
        <v>949</v>
      </c>
      <c r="B950" s="8">
        <v>45703</v>
      </c>
      <c r="C950" t="s">
        <v>6</v>
      </c>
      <c r="D950" t="s">
        <v>46</v>
      </c>
      <c r="E950" t="s">
        <v>53</v>
      </c>
      <c r="F950" t="s">
        <v>48</v>
      </c>
      <c r="G950" t="s">
        <v>44</v>
      </c>
      <c r="H950" t="s">
        <v>44</v>
      </c>
      <c r="I950" t="s">
        <v>43</v>
      </c>
      <c r="J950" t="s">
        <v>49</v>
      </c>
      <c r="K950" s="9">
        <v>10</v>
      </c>
      <c r="L950" s="10">
        <f>IFERROR(VLOOKUP(C950,Parâmetros!$A$5:$D$7,IF(D950="Mensal",2,IF(D950="Trimestral",3,4)),0),0)</f>
        <v>9.99</v>
      </c>
      <c r="M950" s="10">
        <f>IF(G950="Sim",VLOOKUP("EA Play",Parâmetros!$A$11:$B$13,2,0),0)*K950</f>
        <v>0</v>
      </c>
      <c r="N950" s="10">
        <f>IF(H950="Sim",VLOOKUP("Minecraft Pass",Parâmetros!$A$11:$B$13,2,0),0)*K950</f>
        <v>0</v>
      </c>
      <c r="O950" s="10">
        <f>IF(I950="Sim",VLOOKUP("Call of Duty Pass",Parâmetros!$A$11:$B$13,2,0),0)*K950</f>
        <v>69.900000000000006</v>
      </c>
      <c r="P950" s="10">
        <f>(L950*K950+M950+N950+O950)*IF(F950="Promoção",1-Parâmetros!$B$22,1)</f>
        <v>169.8</v>
      </c>
      <c r="Q950" s="10">
        <f>Parâmetros!$B$20*K950</f>
        <v>120</v>
      </c>
      <c r="R950" s="10">
        <f>P950-Q950</f>
        <v>49.800000000000011</v>
      </c>
    </row>
    <row r="951" spans="1:18">
      <c r="A951">
        <v>950</v>
      </c>
      <c r="B951" s="8">
        <v>45773</v>
      </c>
      <c r="C951" t="s">
        <v>6</v>
      </c>
      <c r="D951" t="s">
        <v>46</v>
      </c>
      <c r="E951" t="s">
        <v>47</v>
      </c>
      <c r="F951" t="s">
        <v>54</v>
      </c>
      <c r="G951" t="s">
        <v>44</v>
      </c>
      <c r="H951" t="s">
        <v>43</v>
      </c>
      <c r="I951" t="s">
        <v>44</v>
      </c>
      <c r="J951" t="s">
        <v>45</v>
      </c>
      <c r="K951" s="9">
        <v>31</v>
      </c>
      <c r="L951" s="10">
        <f>IFERROR(VLOOKUP(C951,Parâmetros!$A$5:$D$7,IF(D951="Mensal",2,IF(D951="Trimestral",3,4)),0),0)</f>
        <v>9.99</v>
      </c>
      <c r="M951" s="10">
        <f>IF(G951="Sim",VLOOKUP("EA Play",Parâmetros!$A$11:$B$13,2,0),0)*K951</f>
        <v>0</v>
      </c>
      <c r="N951" s="10">
        <f>IF(H951="Sim",VLOOKUP("Minecraft Pass",Parâmetros!$A$11:$B$13,2,0),0)*K951</f>
        <v>123.69000000000001</v>
      </c>
      <c r="O951" s="10">
        <f>IF(I951="Sim",VLOOKUP("Call of Duty Pass",Parâmetros!$A$11:$B$13,2,0),0)*K951</f>
        <v>0</v>
      </c>
      <c r="P951" s="10">
        <f>(L951*K951+M951+N951+O951)*IF(F951="Promoção",1-Parâmetros!$B$22,1)</f>
        <v>390.04200000000003</v>
      </c>
      <c r="Q951" s="10">
        <f>Parâmetros!$B$20*K951</f>
        <v>372</v>
      </c>
      <c r="R951" s="10">
        <f>P951-Q951</f>
        <v>18.04200000000003</v>
      </c>
    </row>
    <row r="952" spans="1:18">
      <c r="A952">
        <v>951</v>
      </c>
      <c r="B952" s="8">
        <v>45510</v>
      </c>
      <c r="C952" t="s">
        <v>6</v>
      </c>
      <c r="D952" t="s">
        <v>50</v>
      </c>
      <c r="E952" t="s">
        <v>53</v>
      </c>
      <c r="F952" t="s">
        <v>52</v>
      </c>
      <c r="G952" t="s">
        <v>43</v>
      </c>
      <c r="H952" t="s">
        <v>44</v>
      </c>
      <c r="I952" t="s">
        <v>43</v>
      </c>
      <c r="J952" t="s">
        <v>49</v>
      </c>
      <c r="K952" s="9">
        <v>26</v>
      </c>
      <c r="L952" s="10">
        <f>IFERROR(VLOOKUP(C952,Parâmetros!$A$5:$D$7,IF(D952="Mensal",2,IF(D952="Trimestral",3,4)),0),0)</f>
        <v>99</v>
      </c>
      <c r="M952" s="10">
        <f>IF(G952="Sim",VLOOKUP("EA Play",Parâmetros!$A$11:$B$13,2,0),0)*K952</f>
        <v>129.74</v>
      </c>
      <c r="N952" s="10">
        <f>IF(H952="Sim",VLOOKUP("Minecraft Pass",Parâmetros!$A$11:$B$13,2,0),0)*K952</f>
        <v>0</v>
      </c>
      <c r="O952" s="10">
        <f>IF(I952="Sim",VLOOKUP("Call of Duty Pass",Parâmetros!$A$11:$B$13,2,0),0)*K952</f>
        <v>181.74</v>
      </c>
      <c r="P952" s="10">
        <f>(L952*K952+M952+N952+O952)*IF(F952="Promoção",1-Parâmetros!$B$22,1)</f>
        <v>2885.4799999999996</v>
      </c>
      <c r="Q952" s="10">
        <f>Parâmetros!$B$20*K952</f>
        <v>312</v>
      </c>
      <c r="R952" s="10">
        <f>P952-Q952</f>
        <v>2573.4799999999996</v>
      </c>
    </row>
    <row r="953" spans="1:18">
      <c r="A953">
        <v>952</v>
      </c>
      <c r="B953" s="8">
        <v>45375</v>
      </c>
      <c r="C953" t="s">
        <v>6</v>
      </c>
      <c r="D953" t="s">
        <v>40</v>
      </c>
      <c r="E953" t="s">
        <v>55</v>
      </c>
      <c r="F953" t="s">
        <v>48</v>
      </c>
      <c r="G953" t="s">
        <v>44</v>
      </c>
      <c r="H953" t="s">
        <v>43</v>
      </c>
      <c r="I953" t="s">
        <v>44</v>
      </c>
      <c r="J953" t="s">
        <v>49</v>
      </c>
      <c r="K953" s="9">
        <v>28</v>
      </c>
      <c r="L953" s="10">
        <f>IFERROR(VLOOKUP(C953,Parâmetros!$A$5:$D$7,IF(D953="Mensal",2,IF(D953="Trimestral",3,4)),0),0)</f>
        <v>27</v>
      </c>
      <c r="M953" s="10">
        <f>IF(G953="Sim",VLOOKUP("EA Play",Parâmetros!$A$11:$B$13,2,0),0)*K953</f>
        <v>0</v>
      </c>
      <c r="N953" s="10">
        <f>IF(H953="Sim",VLOOKUP("Minecraft Pass",Parâmetros!$A$11:$B$13,2,0),0)*K953</f>
        <v>111.72</v>
      </c>
      <c r="O953" s="10">
        <f>IF(I953="Sim",VLOOKUP("Call of Duty Pass",Parâmetros!$A$11:$B$13,2,0),0)*K953</f>
        <v>0</v>
      </c>
      <c r="P953" s="10">
        <f>(L953*K953+M953+N953+O953)*IF(F953="Promoção",1-Parâmetros!$B$22,1)</f>
        <v>867.72</v>
      </c>
      <c r="Q953" s="10">
        <f>Parâmetros!$B$20*K953</f>
        <v>336</v>
      </c>
      <c r="R953" s="10">
        <f>P953-Q953</f>
        <v>531.72</v>
      </c>
    </row>
    <row r="954" spans="1:18">
      <c r="A954">
        <v>953</v>
      </c>
      <c r="B954" s="8">
        <v>45642</v>
      </c>
      <c r="C954" t="s">
        <v>8</v>
      </c>
      <c r="D954" t="s">
        <v>46</v>
      </c>
      <c r="E954" t="s">
        <v>41</v>
      </c>
      <c r="F954" t="s">
        <v>54</v>
      </c>
      <c r="G954" t="s">
        <v>44</v>
      </c>
      <c r="H954" t="s">
        <v>44</v>
      </c>
      <c r="I954" t="s">
        <v>44</v>
      </c>
      <c r="J954" t="s">
        <v>45</v>
      </c>
      <c r="K954" s="9">
        <v>28</v>
      </c>
      <c r="L954" s="10">
        <f>IFERROR(VLOOKUP(C954,Parâmetros!$A$5:$D$7,IF(D954="Mensal",2,IF(D954="Trimestral",3,4)),0),0)</f>
        <v>21.99</v>
      </c>
      <c r="M954" s="10">
        <f>IF(G954="Sim",VLOOKUP("EA Play",Parâmetros!$A$11:$B$13,2,0),0)*K954</f>
        <v>0</v>
      </c>
      <c r="N954" s="10">
        <f>IF(H954="Sim",VLOOKUP("Minecraft Pass",Parâmetros!$A$11:$B$13,2,0),0)*K954</f>
        <v>0</v>
      </c>
      <c r="O954" s="10">
        <f>IF(I954="Sim",VLOOKUP("Call of Duty Pass",Parâmetros!$A$11:$B$13,2,0),0)*K954</f>
        <v>0</v>
      </c>
      <c r="P954" s="10">
        <f>(L954*K954+M954+N954+O954)*IF(F954="Promoção",1-Parâmetros!$B$22,1)</f>
        <v>554.14799999999991</v>
      </c>
      <c r="Q954" s="10">
        <f>Parâmetros!$B$20*K954</f>
        <v>336</v>
      </c>
      <c r="R954" s="10">
        <f>P954-Q954</f>
        <v>218.14799999999991</v>
      </c>
    </row>
    <row r="955" spans="1:18">
      <c r="A955">
        <v>954</v>
      </c>
      <c r="B955" s="8">
        <v>45655</v>
      </c>
      <c r="C955" t="s">
        <v>8</v>
      </c>
      <c r="D955" t="s">
        <v>40</v>
      </c>
      <c r="E955" t="s">
        <v>51</v>
      </c>
      <c r="F955" t="s">
        <v>48</v>
      </c>
      <c r="G955" t="s">
        <v>44</v>
      </c>
      <c r="H955" t="s">
        <v>43</v>
      </c>
      <c r="I955" t="s">
        <v>44</v>
      </c>
      <c r="J955" t="s">
        <v>45</v>
      </c>
      <c r="K955" s="9">
        <v>10</v>
      </c>
      <c r="L955" s="10">
        <f>IFERROR(VLOOKUP(C955,Parâmetros!$A$5:$D$7,IF(D955="Mensal",2,IF(D955="Trimestral",3,4)),0),0)</f>
        <v>59</v>
      </c>
      <c r="M955" s="10">
        <f>IF(G955="Sim",VLOOKUP("EA Play",Parâmetros!$A$11:$B$13,2,0),0)*K955</f>
        <v>0</v>
      </c>
      <c r="N955" s="10">
        <f>IF(H955="Sim",VLOOKUP("Minecraft Pass",Parâmetros!$A$11:$B$13,2,0),0)*K955</f>
        <v>39.900000000000006</v>
      </c>
      <c r="O955" s="10">
        <f>IF(I955="Sim",VLOOKUP("Call of Duty Pass",Parâmetros!$A$11:$B$13,2,0),0)*K955</f>
        <v>0</v>
      </c>
      <c r="P955" s="10">
        <f>(L955*K955+M955+N955+O955)*IF(F955="Promoção",1-Parâmetros!$B$22,1)</f>
        <v>629.9</v>
      </c>
      <c r="Q955" s="10">
        <f>Parâmetros!$B$20*K955</f>
        <v>120</v>
      </c>
      <c r="R955" s="10">
        <f>P955-Q955</f>
        <v>509.9</v>
      </c>
    </row>
    <row r="956" spans="1:18">
      <c r="A956">
        <v>955</v>
      </c>
      <c r="B956" s="8">
        <v>45623</v>
      </c>
      <c r="C956" t="s">
        <v>7</v>
      </c>
      <c r="D956" t="s">
        <v>50</v>
      </c>
      <c r="E956" t="s">
        <v>51</v>
      </c>
      <c r="F956" t="s">
        <v>54</v>
      </c>
      <c r="G956" t="s">
        <v>44</v>
      </c>
      <c r="H956" t="s">
        <v>43</v>
      </c>
      <c r="I956" t="s">
        <v>44</v>
      </c>
      <c r="J956" t="s">
        <v>45</v>
      </c>
      <c r="K956" s="9">
        <v>32</v>
      </c>
      <c r="L956" s="10">
        <f>IFERROR(VLOOKUP(C956,Parâmetros!$A$5:$D$7,IF(D956="Mensal",2,IF(D956="Trimestral",3,4)),0),0)</f>
        <v>149</v>
      </c>
      <c r="M956" s="10">
        <f>IF(G956="Sim",VLOOKUP("EA Play",Parâmetros!$A$11:$B$13,2,0),0)*K956</f>
        <v>0</v>
      </c>
      <c r="N956" s="10">
        <f>IF(H956="Sim",VLOOKUP("Minecraft Pass",Parâmetros!$A$11:$B$13,2,0),0)*K956</f>
        <v>127.68</v>
      </c>
      <c r="O956" s="10">
        <f>IF(I956="Sim",VLOOKUP("Call of Duty Pass",Parâmetros!$A$11:$B$13,2,0),0)*K956</f>
        <v>0</v>
      </c>
      <c r="P956" s="10">
        <f>(L956*K956+M956+N956+O956)*IF(F956="Promoção",1-Parâmetros!$B$22,1)</f>
        <v>4406.1120000000001</v>
      </c>
      <c r="Q956" s="10">
        <f>Parâmetros!$B$20*K956</f>
        <v>384</v>
      </c>
      <c r="R956" s="10">
        <f>P956-Q956</f>
        <v>4022.1120000000001</v>
      </c>
    </row>
    <row r="957" spans="1:18">
      <c r="A957">
        <v>956</v>
      </c>
      <c r="B957" s="8">
        <v>45616</v>
      </c>
      <c r="C957" t="s">
        <v>6</v>
      </c>
      <c r="D957" t="s">
        <v>50</v>
      </c>
      <c r="E957" t="s">
        <v>41</v>
      </c>
      <c r="F957" t="s">
        <v>48</v>
      </c>
      <c r="G957" t="s">
        <v>43</v>
      </c>
      <c r="H957" t="s">
        <v>44</v>
      </c>
      <c r="I957" t="s">
        <v>44</v>
      </c>
      <c r="J957" t="s">
        <v>49</v>
      </c>
      <c r="K957" s="9">
        <v>29</v>
      </c>
      <c r="L957" s="10">
        <f>IFERROR(VLOOKUP(C957,Parâmetros!$A$5:$D$7,IF(D957="Mensal",2,IF(D957="Trimestral",3,4)),0),0)</f>
        <v>99</v>
      </c>
      <c r="M957" s="10">
        <f>IF(G957="Sim",VLOOKUP("EA Play",Parâmetros!$A$11:$B$13,2,0),0)*K957</f>
        <v>144.71</v>
      </c>
      <c r="N957" s="10">
        <f>IF(H957="Sim",VLOOKUP("Minecraft Pass",Parâmetros!$A$11:$B$13,2,0),0)*K957</f>
        <v>0</v>
      </c>
      <c r="O957" s="10">
        <f>IF(I957="Sim",VLOOKUP("Call of Duty Pass",Parâmetros!$A$11:$B$13,2,0),0)*K957</f>
        <v>0</v>
      </c>
      <c r="P957" s="10">
        <f>(L957*K957+M957+N957+O957)*IF(F957="Promoção",1-Parâmetros!$B$22,1)</f>
        <v>3015.71</v>
      </c>
      <c r="Q957" s="10">
        <f>Parâmetros!$B$20*K957</f>
        <v>348</v>
      </c>
      <c r="R957" s="10">
        <f>P957-Q957</f>
        <v>2667.71</v>
      </c>
    </row>
    <row r="958" spans="1:18">
      <c r="A958">
        <v>957</v>
      </c>
      <c r="B958" s="8">
        <v>45946</v>
      </c>
      <c r="C958" t="s">
        <v>8</v>
      </c>
      <c r="D958" t="s">
        <v>46</v>
      </c>
      <c r="E958" t="s">
        <v>41</v>
      </c>
      <c r="F958" t="s">
        <v>54</v>
      </c>
      <c r="G958" t="s">
        <v>43</v>
      </c>
      <c r="H958" t="s">
        <v>44</v>
      </c>
      <c r="I958" t="s">
        <v>43</v>
      </c>
      <c r="J958" t="s">
        <v>49</v>
      </c>
      <c r="K958" s="9">
        <v>23</v>
      </c>
      <c r="L958" s="10">
        <f>IFERROR(VLOOKUP(C958,Parâmetros!$A$5:$D$7,IF(D958="Mensal",2,IF(D958="Trimestral",3,4)),0),0)</f>
        <v>21.99</v>
      </c>
      <c r="M958" s="10">
        <f>IF(G958="Sim",VLOOKUP("EA Play",Parâmetros!$A$11:$B$13,2,0),0)*K958</f>
        <v>114.77000000000001</v>
      </c>
      <c r="N958" s="10">
        <f>IF(H958="Sim",VLOOKUP("Minecraft Pass",Parâmetros!$A$11:$B$13,2,0),0)*K958</f>
        <v>0</v>
      </c>
      <c r="O958" s="10">
        <f>IF(I958="Sim",VLOOKUP("Call of Duty Pass",Parâmetros!$A$11:$B$13,2,0),0)*K958</f>
        <v>160.77000000000001</v>
      </c>
      <c r="P958" s="10">
        <f>(L958*K958+M958+N958+O958)*IF(F958="Promoção",1-Parâmetros!$B$22,1)</f>
        <v>703.17899999999997</v>
      </c>
      <c r="Q958" s="10">
        <f>Parâmetros!$B$20*K958</f>
        <v>276</v>
      </c>
      <c r="R958" s="10">
        <f>P958-Q958</f>
        <v>427.17899999999997</v>
      </c>
    </row>
    <row r="959" spans="1:18">
      <c r="A959">
        <v>958</v>
      </c>
      <c r="B959" s="8">
        <v>45506</v>
      </c>
      <c r="C959" t="s">
        <v>8</v>
      </c>
      <c r="D959" t="s">
        <v>50</v>
      </c>
      <c r="E959" t="s">
        <v>47</v>
      </c>
      <c r="F959" t="s">
        <v>42</v>
      </c>
      <c r="G959" t="s">
        <v>44</v>
      </c>
      <c r="H959" t="s">
        <v>43</v>
      </c>
      <c r="I959" t="s">
        <v>44</v>
      </c>
      <c r="J959" t="s">
        <v>49</v>
      </c>
      <c r="K959" s="9">
        <v>8</v>
      </c>
      <c r="L959" s="10">
        <f>IFERROR(VLOOKUP(C959,Parâmetros!$A$5:$D$7,IF(D959="Mensal",2,IF(D959="Trimestral",3,4)),0),0)</f>
        <v>219</v>
      </c>
      <c r="M959" s="10">
        <f>IF(G959="Sim",VLOOKUP("EA Play",Parâmetros!$A$11:$B$13,2,0),0)*K959</f>
        <v>0</v>
      </c>
      <c r="N959" s="10">
        <f>IF(H959="Sim",VLOOKUP("Minecraft Pass",Parâmetros!$A$11:$B$13,2,0),0)*K959</f>
        <v>31.92</v>
      </c>
      <c r="O959" s="10">
        <f>IF(I959="Sim",VLOOKUP("Call of Duty Pass",Parâmetros!$A$11:$B$13,2,0),0)*K959</f>
        <v>0</v>
      </c>
      <c r="P959" s="10">
        <f>(L959*K959+M959+N959+O959)*IF(F959="Promoção",1-Parâmetros!$B$22,1)</f>
        <v>1783.92</v>
      </c>
      <c r="Q959" s="10">
        <f>Parâmetros!$B$20*K959</f>
        <v>96</v>
      </c>
      <c r="R959" s="10">
        <f>P959-Q959</f>
        <v>1687.92</v>
      </c>
    </row>
    <row r="960" spans="1:18">
      <c r="A960">
        <v>959</v>
      </c>
      <c r="B960" s="8">
        <v>46008</v>
      </c>
      <c r="C960" t="s">
        <v>7</v>
      </c>
      <c r="D960" t="s">
        <v>50</v>
      </c>
      <c r="E960" t="s">
        <v>41</v>
      </c>
      <c r="F960" t="s">
        <v>42</v>
      </c>
      <c r="G960" t="s">
        <v>44</v>
      </c>
      <c r="H960" t="s">
        <v>44</v>
      </c>
      <c r="I960" t="s">
        <v>44</v>
      </c>
      <c r="J960" t="s">
        <v>49</v>
      </c>
      <c r="K960" s="9">
        <v>12</v>
      </c>
      <c r="L960" s="10">
        <f>IFERROR(VLOOKUP(C960,Parâmetros!$A$5:$D$7,IF(D960="Mensal",2,IF(D960="Trimestral",3,4)),0),0)</f>
        <v>149</v>
      </c>
      <c r="M960" s="10">
        <f>IF(G960="Sim",VLOOKUP("EA Play",Parâmetros!$A$11:$B$13,2,0),0)*K960</f>
        <v>0</v>
      </c>
      <c r="N960" s="10">
        <f>IF(H960="Sim",VLOOKUP("Minecraft Pass",Parâmetros!$A$11:$B$13,2,0),0)*K960</f>
        <v>0</v>
      </c>
      <c r="O960" s="10">
        <f>IF(I960="Sim",VLOOKUP("Call of Duty Pass",Parâmetros!$A$11:$B$13,2,0),0)*K960</f>
        <v>0</v>
      </c>
      <c r="P960" s="10">
        <f>(L960*K960+M960+N960+O960)*IF(F960="Promoção",1-Parâmetros!$B$22,1)</f>
        <v>1788</v>
      </c>
      <c r="Q960" s="10">
        <f>Parâmetros!$B$20*K960</f>
        <v>144</v>
      </c>
      <c r="R960" s="10">
        <f>P960-Q960</f>
        <v>1644</v>
      </c>
    </row>
    <row r="961" spans="1:18">
      <c r="A961">
        <v>960</v>
      </c>
      <c r="B961" s="8">
        <v>45761</v>
      </c>
      <c r="C961" t="s">
        <v>7</v>
      </c>
      <c r="D961" t="s">
        <v>46</v>
      </c>
      <c r="E961" t="s">
        <v>47</v>
      </c>
      <c r="F961" t="s">
        <v>48</v>
      </c>
      <c r="G961" t="s">
        <v>43</v>
      </c>
      <c r="H961" t="s">
        <v>44</v>
      </c>
      <c r="I961" t="s">
        <v>44</v>
      </c>
      <c r="J961" t="s">
        <v>49</v>
      </c>
      <c r="K961" s="9">
        <v>19</v>
      </c>
      <c r="L961" s="10">
        <f>IFERROR(VLOOKUP(C961,Parâmetros!$A$5:$D$7,IF(D961="Mensal",2,IF(D961="Trimestral",3,4)),0),0)</f>
        <v>14.99</v>
      </c>
      <c r="M961" s="10">
        <f>IF(G961="Sim",VLOOKUP("EA Play",Parâmetros!$A$11:$B$13,2,0),0)*K961</f>
        <v>94.81</v>
      </c>
      <c r="N961" s="10">
        <f>IF(H961="Sim",VLOOKUP("Minecraft Pass",Parâmetros!$A$11:$B$13,2,0),0)*K961</f>
        <v>0</v>
      </c>
      <c r="O961" s="10">
        <f>IF(I961="Sim",VLOOKUP("Call of Duty Pass",Parâmetros!$A$11:$B$13,2,0),0)*K961</f>
        <v>0</v>
      </c>
      <c r="P961" s="10">
        <f>(L961*K961+M961+N961+O961)*IF(F961="Promoção",1-Parâmetros!$B$22,1)</f>
        <v>379.62</v>
      </c>
      <c r="Q961" s="10">
        <f>Parâmetros!$B$20*K961</f>
        <v>228</v>
      </c>
      <c r="R961" s="10">
        <f>P961-Q961</f>
        <v>151.62</v>
      </c>
    </row>
    <row r="962" spans="1:18">
      <c r="A962">
        <v>961</v>
      </c>
      <c r="B962" s="8">
        <v>46010</v>
      </c>
      <c r="C962" t="s">
        <v>7</v>
      </c>
      <c r="D962" t="s">
        <v>50</v>
      </c>
      <c r="E962" t="s">
        <v>55</v>
      </c>
      <c r="F962" t="s">
        <v>54</v>
      </c>
      <c r="G962" t="s">
        <v>44</v>
      </c>
      <c r="H962" t="s">
        <v>43</v>
      </c>
      <c r="I962" t="s">
        <v>44</v>
      </c>
      <c r="J962" t="s">
        <v>45</v>
      </c>
      <c r="K962" s="9">
        <v>27</v>
      </c>
      <c r="L962" s="10">
        <f>IFERROR(VLOOKUP(C962,Parâmetros!$A$5:$D$7,IF(D962="Mensal",2,IF(D962="Trimestral",3,4)),0),0)</f>
        <v>149</v>
      </c>
      <c r="M962" s="10">
        <f>IF(G962="Sim",VLOOKUP("EA Play",Parâmetros!$A$11:$B$13,2,0),0)*K962</f>
        <v>0</v>
      </c>
      <c r="N962" s="10">
        <f>IF(H962="Sim",VLOOKUP("Minecraft Pass",Parâmetros!$A$11:$B$13,2,0),0)*K962</f>
        <v>107.73</v>
      </c>
      <c r="O962" s="10">
        <f>IF(I962="Sim",VLOOKUP("Call of Duty Pass",Parâmetros!$A$11:$B$13,2,0),0)*K962</f>
        <v>0</v>
      </c>
      <c r="P962" s="10">
        <f>(L962*K962+M962+N962+O962)*IF(F962="Promoção",1-Parâmetros!$B$22,1)</f>
        <v>3717.6569999999997</v>
      </c>
      <c r="Q962" s="10">
        <f>Parâmetros!$B$20*K962</f>
        <v>324</v>
      </c>
      <c r="R962" s="10">
        <f>P962-Q962</f>
        <v>3393.6569999999997</v>
      </c>
    </row>
    <row r="963" spans="1:18">
      <c r="A963">
        <v>962</v>
      </c>
      <c r="B963" s="8">
        <v>45398</v>
      </c>
      <c r="C963" t="s">
        <v>7</v>
      </c>
      <c r="D963" t="s">
        <v>40</v>
      </c>
      <c r="E963" t="s">
        <v>55</v>
      </c>
      <c r="F963" t="s">
        <v>42</v>
      </c>
      <c r="G963" t="s">
        <v>43</v>
      </c>
      <c r="H963" t="s">
        <v>44</v>
      </c>
      <c r="I963" t="s">
        <v>43</v>
      </c>
      <c r="J963" t="s">
        <v>49</v>
      </c>
      <c r="K963" s="9">
        <v>27</v>
      </c>
      <c r="L963" s="10">
        <f>IFERROR(VLOOKUP(C963,Parâmetros!$A$5:$D$7,IF(D963="Mensal",2,IF(D963="Trimestral",3,4)),0),0)</f>
        <v>40</v>
      </c>
      <c r="M963" s="10">
        <f>IF(G963="Sim",VLOOKUP("EA Play",Parâmetros!$A$11:$B$13,2,0),0)*K963</f>
        <v>134.73000000000002</v>
      </c>
      <c r="N963" s="10">
        <f>IF(H963="Sim",VLOOKUP("Minecraft Pass",Parâmetros!$A$11:$B$13,2,0),0)*K963</f>
        <v>0</v>
      </c>
      <c r="O963" s="10">
        <f>IF(I963="Sim",VLOOKUP("Call of Duty Pass",Parâmetros!$A$11:$B$13,2,0),0)*K963</f>
        <v>188.73000000000002</v>
      </c>
      <c r="P963" s="10">
        <f>(L963*K963+M963+N963+O963)*IF(F963="Promoção",1-Parâmetros!$B$22,1)</f>
        <v>1403.46</v>
      </c>
      <c r="Q963" s="10">
        <f>Parâmetros!$B$20*K963</f>
        <v>324</v>
      </c>
      <c r="R963" s="10">
        <f>P963-Q963</f>
        <v>1079.46</v>
      </c>
    </row>
    <row r="964" spans="1:18">
      <c r="A964">
        <v>963</v>
      </c>
      <c r="B964" s="8">
        <v>45508</v>
      </c>
      <c r="C964" t="s">
        <v>6</v>
      </c>
      <c r="D964" t="s">
        <v>46</v>
      </c>
      <c r="E964" t="s">
        <v>41</v>
      </c>
      <c r="F964" t="s">
        <v>42</v>
      </c>
      <c r="G964" t="s">
        <v>44</v>
      </c>
      <c r="H964" t="s">
        <v>43</v>
      </c>
      <c r="I964" t="s">
        <v>44</v>
      </c>
      <c r="J964" t="s">
        <v>45</v>
      </c>
      <c r="K964" s="9">
        <v>27</v>
      </c>
      <c r="L964" s="10">
        <f>IFERROR(VLOOKUP(C964,Parâmetros!$A$5:$D$7,IF(D964="Mensal",2,IF(D964="Trimestral",3,4)),0),0)</f>
        <v>9.99</v>
      </c>
      <c r="M964" s="10">
        <f>IF(G964="Sim",VLOOKUP("EA Play",Parâmetros!$A$11:$B$13,2,0),0)*K964</f>
        <v>0</v>
      </c>
      <c r="N964" s="10">
        <f>IF(H964="Sim",VLOOKUP("Minecraft Pass",Parâmetros!$A$11:$B$13,2,0),0)*K964</f>
        <v>107.73</v>
      </c>
      <c r="O964" s="10">
        <f>IF(I964="Sim",VLOOKUP("Call of Duty Pass",Parâmetros!$A$11:$B$13,2,0),0)*K964</f>
        <v>0</v>
      </c>
      <c r="P964" s="10">
        <f>(L964*K964+M964+N964+O964)*IF(F964="Promoção",1-Parâmetros!$B$22,1)</f>
        <v>377.46000000000004</v>
      </c>
      <c r="Q964" s="10">
        <f>Parâmetros!$B$20*K964</f>
        <v>324</v>
      </c>
      <c r="R964" s="10">
        <f>P964-Q964</f>
        <v>53.460000000000036</v>
      </c>
    </row>
    <row r="965" spans="1:18">
      <c r="A965">
        <v>964</v>
      </c>
      <c r="B965" s="8">
        <v>45952</v>
      </c>
      <c r="C965" t="s">
        <v>7</v>
      </c>
      <c r="D965" t="s">
        <v>40</v>
      </c>
      <c r="E965" t="s">
        <v>41</v>
      </c>
      <c r="F965" t="s">
        <v>42</v>
      </c>
      <c r="G965" t="s">
        <v>43</v>
      </c>
      <c r="H965" t="s">
        <v>43</v>
      </c>
      <c r="I965" t="s">
        <v>44</v>
      </c>
      <c r="J965" t="s">
        <v>49</v>
      </c>
      <c r="K965" s="9">
        <v>27</v>
      </c>
      <c r="L965" s="10">
        <f>IFERROR(VLOOKUP(C965,Parâmetros!$A$5:$D$7,IF(D965="Mensal",2,IF(D965="Trimestral",3,4)),0),0)</f>
        <v>40</v>
      </c>
      <c r="M965" s="10">
        <f>IF(G965="Sim",VLOOKUP("EA Play",Parâmetros!$A$11:$B$13,2,0),0)*K965</f>
        <v>134.73000000000002</v>
      </c>
      <c r="N965" s="10">
        <f>IF(H965="Sim",VLOOKUP("Minecraft Pass",Parâmetros!$A$11:$B$13,2,0),0)*K965</f>
        <v>107.73</v>
      </c>
      <c r="O965" s="10">
        <f>IF(I965="Sim",VLOOKUP("Call of Duty Pass",Parâmetros!$A$11:$B$13,2,0),0)*K965</f>
        <v>0</v>
      </c>
      <c r="P965" s="10">
        <f>(L965*K965+M965+N965+O965)*IF(F965="Promoção",1-Parâmetros!$B$22,1)</f>
        <v>1322.46</v>
      </c>
      <c r="Q965" s="10">
        <f>Parâmetros!$B$20*K965</f>
        <v>324</v>
      </c>
      <c r="R965" s="10">
        <f>P965-Q965</f>
        <v>998.46</v>
      </c>
    </row>
    <row r="966" spans="1:18">
      <c r="A966">
        <v>965</v>
      </c>
      <c r="B966" s="8">
        <v>45981</v>
      </c>
      <c r="C966" t="s">
        <v>6</v>
      </c>
      <c r="D966" t="s">
        <v>50</v>
      </c>
      <c r="E966" t="s">
        <v>41</v>
      </c>
      <c r="F966" t="s">
        <v>42</v>
      </c>
      <c r="G966" t="s">
        <v>43</v>
      </c>
      <c r="H966" t="s">
        <v>43</v>
      </c>
      <c r="I966" t="s">
        <v>44</v>
      </c>
      <c r="J966" t="s">
        <v>45</v>
      </c>
      <c r="K966" s="9">
        <v>21</v>
      </c>
      <c r="L966" s="10">
        <f>IFERROR(VLOOKUP(C966,Parâmetros!$A$5:$D$7,IF(D966="Mensal",2,IF(D966="Trimestral",3,4)),0),0)</f>
        <v>99</v>
      </c>
      <c r="M966" s="10">
        <f>IF(G966="Sim",VLOOKUP("EA Play",Parâmetros!$A$11:$B$13,2,0),0)*K966</f>
        <v>104.79</v>
      </c>
      <c r="N966" s="10">
        <f>IF(H966="Sim",VLOOKUP("Minecraft Pass",Parâmetros!$A$11:$B$13,2,0),0)*K966</f>
        <v>83.79</v>
      </c>
      <c r="O966" s="10">
        <f>IF(I966="Sim",VLOOKUP("Call of Duty Pass",Parâmetros!$A$11:$B$13,2,0),0)*K966</f>
        <v>0</v>
      </c>
      <c r="P966" s="10">
        <f>(L966*K966+M966+N966+O966)*IF(F966="Promoção",1-Parâmetros!$B$22,1)</f>
        <v>2267.58</v>
      </c>
      <c r="Q966" s="10">
        <f>Parâmetros!$B$20*K966</f>
        <v>252</v>
      </c>
      <c r="R966" s="10">
        <f>P966-Q966</f>
        <v>2015.58</v>
      </c>
    </row>
    <row r="967" spans="1:18">
      <c r="A967">
        <v>966</v>
      </c>
      <c r="B967" s="8">
        <v>45635</v>
      </c>
      <c r="C967" t="s">
        <v>6</v>
      </c>
      <c r="D967" t="s">
        <v>40</v>
      </c>
      <c r="E967" t="s">
        <v>47</v>
      </c>
      <c r="F967" t="s">
        <v>48</v>
      </c>
      <c r="G967" t="s">
        <v>43</v>
      </c>
      <c r="H967" t="s">
        <v>44</v>
      </c>
      <c r="I967" t="s">
        <v>44</v>
      </c>
      <c r="J967" t="s">
        <v>49</v>
      </c>
      <c r="K967" s="9">
        <v>28</v>
      </c>
      <c r="L967" s="10">
        <f>IFERROR(VLOOKUP(C967,Parâmetros!$A$5:$D$7,IF(D967="Mensal",2,IF(D967="Trimestral",3,4)),0),0)</f>
        <v>27</v>
      </c>
      <c r="M967" s="10">
        <f>IF(G967="Sim",VLOOKUP("EA Play",Parâmetros!$A$11:$B$13,2,0),0)*K967</f>
        <v>139.72</v>
      </c>
      <c r="N967" s="10">
        <f>IF(H967="Sim",VLOOKUP("Minecraft Pass",Parâmetros!$A$11:$B$13,2,0),0)*K967</f>
        <v>0</v>
      </c>
      <c r="O967" s="10">
        <f>IF(I967="Sim",VLOOKUP("Call of Duty Pass",Parâmetros!$A$11:$B$13,2,0),0)*K967</f>
        <v>0</v>
      </c>
      <c r="P967" s="10">
        <f>(L967*K967+M967+N967+O967)*IF(F967="Promoção",1-Parâmetros!$B$22,1)</f>
        <v>895.72</v>
      </c>
      <c r="Q967" s="10">
        <f>Parâmetros!$B$20*K967</f>
        <v>336</v>
      </c>
      <c r="R967" s="10">
        <f>P967-Q967</f>
        <v>559.72</v>
      </c>
    </row>
    <row r="968" spans="1:18">
      <c r="A968">
        <v>967</v>
      </c>
      <c r="B968" s="8">
        <v>45423</v>
      </c>
      <c r="C968" t="s">
        <v>8</v>
      </c>
      <c r="D968" t="s">
        <v>46</v>
      </c>
      <c r="E968" t="s">
        <v>51</v>
      </c>
      <c r="F968" t="s">
        <v>48</v>
      </c>
      <c r="G968" t="s">
        <v>43</v>
      </c>
      <c r="H968" t="s">
        <v>43</v>
      </c>
      <c r="I968" t="s">
        <v>43</v>
      </c>
      <c r="J968" t="s">
        <v>45</v>
      </c>
      <c r="K968" s="9">
        <v>9</v>
      </c>
      <c r="L968" s="10">
        <f>IFERROR(VLOOKUP(C968,Parâmetros!$A$5:$D$7,IF(D968="Mensal",2,IF(D968="Trimestral",3,4)),0),0)</f>
        <v>21.99</v>
      </c>
      <c r="M968" s="10">
        <f>IF(G968="Sim",VLOOKUP("EA Play",Parâmetros!$A$11:$B$13,2,0),0)*K968</f>
        <v>44.910000000000004</v>
      </c>
      <c r="N968" s="10">
        <f>IF(H968="Sim",VLOOKUP("Minecraft Pass",Parâmetros!$A$11:$B$13,2,0),0)*K968</f>
        <v>35.910000000000004</v>
      </c>
      <c r="O968" s="10">
        <f>IF(I968="Sim",VLOOKUP("Call of Duty Pass",Parâmetros!$A$11:$B$13,2,0),0)*K968</f>
        <v>62.910000000000004</v>
      </c>
      <c r="P968" s="10">
        <f>(L968*K968+M968+N968+O968)*IF(F968="Promoção",1-Parâmetros!$B$22,1)</f>
        <v>341.64000000000004</v>
      </c>
      <c r="Q968" s="10">
        <f>Parâmetros!$B$20*K968</f>
        <v>108</v>
      </c>
      <c r="R968" s="10">
        <f>P968-Q968</f>
        <v>233.64000000000004</v>
      </c>
    </row>
    <row r="969" spans="1:18">
      <c r="A969">
        <v>968</v>
      </c>
      <c r="B969" s="8">
        <v>45808</v>
      </c>
      <c r="C969" t="s">
        <v>6</v>
      </c>
      <c r="D969" t="s">
        <v>40</v>
      </c>
      <c r="E969" t="s">
        <v>41</v>
      </c>
      <c r="F969" t="s">
        <v>52</v>
      </c>
      <c r="G969" t="s">
        <v>44</v>
      </c>
      <c r="H969" t="s">
        <v>44</v>
      </c>
      <c r="I969" t="s">
        <v>43</v>
      </c>
      <c r="J969" t="s">
        <v>49</v>
      </c>
      <c r="K969" s="9">
        <v>6</v>
      </c>
      <c r="L969" s="10">
        <f>IFERROR(VLOOKUP(C969,Parâmetros!$A$5:$D$7,IF(D969="Mensal",2,IF(D969="Trimestral",3,4)),0),0)</f>
        <v>27</v>
      </c>
      <c r="M969" s="10">
        <f>IF(G969="Sim",VLOOKUP("EA Play",Parâmetros!$A$11:$B$13,2,0),0)*K969</f>
        <v>0</v>
      </c>
      <c r="N969" s="10">
        <f>IF(H969="Sim",VLOOKUP("Minecraft Pass",Parâmetros!$A$11:$B$13,2,0),0)*K969</f>
        <v>0</v>
      </c>
      <c r="O969" s="10">
        <f>IF(I969="Sim",VLOOKUP("Call of Duty Pass",Parâmetros!$A$11:$B$13,2,0),0)*K969</f>
        <v>41.94</v>
      </c>
      <c r="P969" s="10">
        <f>(L969*K969+M969+N969+O969)*IF(F969="Promoção",1-Parâmetros!$B$22,1)</f>
        <v>203.94</v>
      </c>
      <c r="Q969" s="10">
        <f>Parâmetros!$B$20*K969</f>
        <v>72</v>
      </c>
      <c r="R969" s="10">
        <f>P969-Q969</f>
        <v>131.94</v>
      </c>
    </row>
    <row r="970" spans="1:18">
      <c r="A970">
        <v>969</v>
      </c>
      <c r="B970" s="8">
        <v>45387</v>
      </c>
      <c r="C970" t="s">
        <v>6</v>
      </c>
      <c r="D970" t="s">
        <v>46</v>
      </c>
      <c r="E970" t="s">
        <v>51</v>
      </c>
      <c r="F970" t="s">
        <v>42</v>
      </c>
      <c r="G970" t="s">
        <v>44</v>
      </c>
      <c r="H970" t="s">
        <v>44</v>
      </c>
      <c r="I970" t="s">
        <v>44</v>
      </c>
      <c r="J970" t="s">
        <v>45</v>
      </c>
      <c r="K970" s="9">
        <v>2</v>
      </c>
      <c r="L970" s="10">
        <f>IFERROR(VLOOKUP(C970,Parâmetros!$A$5:$D$7,IF(D970="Mensal",2,IF(D970="Trimestral",3,4)),0),0)</f>
        <v>9.99</v>
      </c>
      <c r="M970" s="10">
        <f>IF(G970="Sim",VLOOKUP("EA Play",Parâmetros!$A$11:$B$13,2,0),0)*K970</f>
        <v>0</v>
      </c>
      <c r="N970" s="10">
        <f>IF(H970="Sim",VLOOKUP("Minecraft Pass",Parâmetros!$A$11:$B$13,2,0),0)*K970</f>
        <v>0</v>
      </c>
      <c r="O970" s="10">
        <f>IF(I970="Sim",VLOOKUP("Call of Duty Pass",Parâmetros!$A$11:$B$13,2,0),0)*K970</f>
        <v>0</v>
      </c>
      <c r="P970" s="10">
        <f>(L970*K970+M970+N970+O970)*IF(F970="Promoção",1-Parâmetros!$B$22,1)</f>
        <v>19.98</v>
      </c>
      <c r="Q970" s="10">
        <f>Parâmetros!$B$20*K970</f>
        <v>24</v>
      </c>
      <c r="R970" s="10">
        <f>P970-Q970</f>
        <v>-4.0199999999999996</v>
      </c>
    </row>
    <row r="971" spans="1:18">
      <c r="A971">
        <v>970</v>
      </c>
      <c r="B971" s="8">
        <v>45425</v>
      </c>
      <c r="C971" t="s">
        <v>8</v>
      </c>
      <c r="D971" t="s">
        <v>40</v>
      </c>
      <c r="E971" t="s">
        <v>51</v>
      </c>
      <c r="F971" t="s">
        <v>42</v>
      </c>
      <c r="G971" t="s">
        <v>44</v>
      </c>
      <c r="H971" t="s">
        <v>43</v>
      </c>
      <c r="I971" t="s">
        <v>43</v>
      </c>
      <c r="J971" t="s">
        <v>45</v>
      </c>
      <c r="K971" s="9">
        <v>25</v>
      </c>
      <c r="L971" s="10">
        <f>IFERROR(VLOOKUP(C971,Parâmetros!$A$5:$D$7,IF(D971="Mensal",2,IF(D971="Trimestral",3,4)),0),0)</f>
        <v>59</v>
      </c>
      <c r="M971" s="10">
        <f>IF(G971="Sim",VLOOKUP("EA Play",Parâmetros!$A$11:$B$13,2,0),0)*K971</f>
        <v>0</v>
      </c>
      <c r="N971" s="10">
        <f>IF(H971="Sim",VLOOKUP("Minecraft Pass",Parâmetros!$A$11:$B$13,2,0),0)*K971</f>
        <v>99.75</v>
      </c>
      <c r="O971" s="10">
        <f>IF(I971="Sim",VLOOKUP("Call of Duty Pass",Parâmetros!$A$11:$B$13,2,0),0)*K971</f>
        <v>174.75</v>
      </c>
      <c r="P971" s="10">
        <f>(L971*K971+M971+N971+O971)*IF(F971="Promoção",1-Parâmetros!$B$22,1)</f>
        <v>1749.5</v>
      </c>
      <c r="Q971" s="10">
        <f>Parâmetros!$B$20*K971</f>
        <v>300</v>
      </c>
      <c r="R971" s="10">
        <f>P971-Q971</f>
        <v>1449.5</v>
      </c>
    </row>
    <row r="972" spans="1:18">
      <c r="A972">
        <v>971</v>
      </c>
      <c r="B972" s="8">
        <v>45558</v>
      </c>
      <c r="C972" t="s">
        <v>7</v>
      </c>
      <c r="D972" t="s">
        <v>46</v>
      </c>
      <c r="E972" t="s">
        <v>55</v>
      </c>
      <c r="F972" t="s">
        <v>52</v>
      </c>
      <c r="G972" t="s">
        <v>44</v>
      </c>
      <c r="H972" t="s">
        <v>44</v>
      </c>
      <c r="I972" t="s">
        <v>43</v>
      </c>
      <c r="J972" t="s">
        <v>49</v>
      </c>
      <c r="K972" s="9">
        <v>8</v>
      </c>
      <c r="L972" s="10">
        <f>IFERROR(VLOOKUP(C972,Parâmetros!$A$5:$D$7,IF(D972="Mensal",2,IF(D972="Trimestral",3,4)),0),0)</f>
        <v>14.99</v>
      </c>
      <c r="M972" s="10">
        <f>IF(G972="Sim",VLOOKUP("EA Play",Parâmetros!$A$11:$B$13,2,0),0)*K972</f>
        <v>0</v>
      </c>
      <c r="N972" s="10">
        <f>IF(H972="Sim",VLOOKUP("Minecraft Pass",Parâmetros!$A$11:$B$13,2,0),0)*K972</f>
        <v>0</v>
      </c>
      <c r="O972" s="10">
        <f>IF(I972="Sim",VLOOKUP("Call of Duty Pass",Parâmetros!$A$11:$B$13,2,0),0)*K972</f>
        <v>55.92</v>
      </c>
      <c r="P972" s="10">
        <f>(L972*K972+M972+N972+O972)*IF(F972="Promoção",1-Parâmetros!$B$22,1)</f>
        <v>175.84</v>
      </c>
      <c r="Q972" s="10">
        <f>Parâmetros!$B$20*K972</f>
        <v>96</v>
      </c>
      <c r="R972" s="10">
        <f>P972-Q972</f>
        <v>79.84</v>
      </c>
    </row>
    <row r="973" spans="1:18">
      <c r="A973">
        <v>972</v>
      </c>
      <c r="B973" s="8">
        <v>45401</v>
      </c>
      <c r="C973" t="s">
        <v>6</v>
      </c>
      <c r="D973" t="s">
        <v>46</v>
      </c>
      <c r="E973" t="s">
        <v>41</v>
      </c>
      <c r="F973" t="s">
        <v>42</v>
      </c>
      <c r="G973" t="s">
        <v>44</v>
      </c>
      <c r="H973" t="s">
        <v>44</v>
      </c>
      <c r="I973" t="s">
        <v>43</v>
      </c>
      <c r="J973" t="s">
        <v>49</v>
      </c>
      <c r="K973" s="9">
        <v>2</v>
      </c>
      <c r="L973" s="10">
        <f>IFERROR(VLOOKUP(C973,Parâmetros!$A$5:$D$7,IF(D973="Mensal",2,IF(D973="Trimestral",3,4)),0),0)</f>
        <v>9.99</v>
      </c>
      <c r="M973" s="10">
        <f>IF(G973="Sim",VLOOKUP("EA Play",Parâmetros!$A$11:$B$13,2,0),0)*K973</f>
        <v>0</v>
      </c>
      <c r="N973" s="10">
        <f>IF(H973="Sim",VLOOKUP("Minecraft Pass",Parâmetros!$A$11:$B$13,2,0),0)*K973</f>
        <v>0</v>
      </c>
      <c r="O973" s="10">
        <f>IF(I973="Sim",VLOOKUP("Call of Duty Pass",Parâmetros!$A$11:$B$13,2,0),0)*K973</f>
        <v>13.98</v>
      </c>
      <c r="P973" s="10">
        <f>(L973*K973+M973+N973+O973)*IF(F973="Promoção",1-Parâmetros!$B$22,1)</f>
        <v>33.96</v>
      </c>
      <c r="Q973" s="10">
        <f>Parâmetros!$B$20*K973</f>
        <v>24</v>
      </c>
      <c r="R973" s="10">
        <f>P973-Q973</f>
        <v>9.9600000000000009</v>
      </c>
    </row>
    <row r="974" spans="1:18">
      <c r="A974">
        <v>973</v>
      </c>
      <c r="B974" s="8">
        <v>45715</v>
      </c>
      <c r="C974" t="s">
        <v>6</v>
      </c>
      <c r="D974" t="s">
        <v>50</v>
      </c>
      <c r="E974" t="s">
        <v>41</v>
      </c>
      <c r="F974" t="s">
        <v>52</v>
      </c>
      <c r="G974" t="s">
        <v>43</v>
      </c>
      <c r="H974" t="s">
        <v>43</v>
      </c>
      <c r="I974" t="s">
        <v>44</v>
      </c>
      <c r="J974" t="s">
        <v>45</v>
      </c>
      <c r="K974" s="9">
        <v>12</v>
      </c>
      <c r="L974" s="10">
        <f>IFERROR(VLOOKUP(C974,Parâmetros!$A$5:$D$7,IF(D974="Mensal",2,IF(D974="Trimestral",3,4)),0),0)</f>
        <v>99</v>
      </c>
      <c r="M974" s="10">
        <f>IF(G974="Sim",VLOOKUP("EA Play",Parâmetros!$A$11:$B$13,2,0),0)*K974</f>
        <v>59.88</v>
      </c>
      <c r="N974" s="10">
        <f>IF(H974="Sim",VLOOKUP("Minecraft Pass",Parâmetros!$A$11:$B$13,2,0),0)*K974</f>
        <v>47.88</v>
      </c>
      <c r="O974" s="10">
        <f>IF(I974="Sim",VLOOKUP("Call of Duty Pass",Parâmetros!$A$11:$B$13,2,0),0)*K974</f>
        <v>0</v>
      </c>
      <c r="P974" s="10">
        <f>(L974*K974+M974+N974+O974)*IF(F974="Promoção",1-Parâmetros!$B$22,1)</f>
        <v>1295.7600000000002</v>
      </c>
      <c r="Q974" s="10">
        <f>Parâmetros!$B$20*K974</f>
        <v>144</v>
      </c>
      <c r="R974" s="10">
        <f>P974-Q974</f>
        <v>1151.7600000000002</v>
      </c>
    </row>
    <row r="975" spans="1:18">
      <c r="A975">
        <v>974</v>
      </c>
      <c r="B975" s="8">
        <v>45597</v>
      </c>
      <c r="C975" t="s">
        <v>6</v>
      </c>
      <c r="D975" t="s">
        <v>46</v>
      </c>
      <c r="E975" t="s">
        <v>47</v>
      </c>
      <c r="F975" t="s">
        <v>52</v>
      </c>
      <c r="G975" t="s">
        <v>43</v>
      </c>
      <c r="H975" t="s">
        <v>44</v>
      </c>
      <c r="I975" t="s">
        <v>44</v>
      </c>
      <c r="J975" t="s">
        <v>49</v>
      </c>
      <c r="K975" s="9">
        <v>35</v>
      </c>
      <c r="L975" s="10">
        <f>IFERROR(VLOOKUP(C975,Parâmetros!$A$5:$D$7,IF(D975="Mensal",2,IF(D975="Trimestral",3,4)),0),0)</f>
        <v>9.99</v>
      </c>
      <c r="M975" s="10">
        <f>IF(G975="Sim",VLOOKUP("EA Play",Parâmetros!$A$11:$B$13,2,0),0)*K975</f>
        <v>174.65</v>
      </c>
      <c r="N975" s="10">
        <f>IF(H975="Sim",VLOOKUP("Minecraft Pass",Parâmetros!$A$11:$B$13,2,0),0)*K975</f>
        <v>0</v>
      </c>
      <c r="O975" s="10">
        <f>IF(I975="Sim",VLOOKUP("Call of Duty Pass",Parâmetros!$A$11:$B$13,2,0),0)*K975</f>
        <v>0</v>
      </c>
      <c r="P975" s="10">
        <f>(L975*K975+M975+N975+O975)*IF(F975="Promoção",1-Parâmetros!$B$22,1)</f>
        <v>524.30000000000007</v>
      </c>
      <c r="Q975" s="10">
        <f>Parâmetros!$B$20*K975</f>
        <v>420</v>
      </c>
      <c r="R975" s="10">
        <f>P975-Q975</f>
        <v>104.30000000000007</v>
      </c>
    </row>
    <row r="976" spans="1:18">
      <c r="A976">
        <v>975</v>
      </c>
      <c r="B976" s="8">
        <v>45297</v>
      </c>
      <c r="C976" t="s">
        <v>6</v>
      </c>
      <c r="D976" t="s">
        <v>40</v>
      </c>
      <c r="E976" t="s">
        <v>55</v>
      </c>
      <c r="F976" t="s">
        <v>42</v>
      </c>
      <c r="G976" t="s">
        <v>43</v>
      </c>
      <c r="H976" t="s">
        <v>43</v>
      </c>
      <c r="I976" t="s">
        <v>44</v>
      </c>
      <c r="J976" t="s">
        <v>49</v>
      </c>
      <c r="K976" s="9">
        <v>24</v>
      </c>
      <c r="L976" s="10">
        <f>IFERROR(VLOOKUP(C976,Parâmetros!$A$5:$D$7,IF(D976="Mensal",2,IF(D976="Trimestral",3,4)),0),0)</f>
        <v>27</v>
      </c>
      <c r="M976" s="10">
        <f>IF(G976="Sim",VLOOKUP("EA Play",Parâmetros!$A$11:$B$13,2,0),0)*K976</f>
        <v>119.76</v>
      </c>
      <c r="N976" s="10">
        <f>IF(H976="Sim",VLOOKUP("Minecraft Pass",Parâmetros!$A$11:$B$13,2,0),0)*K976</f>
        <v>95.76</v>
      </c>
      <c r="O976" s="10">
        <f>IF(I976="Sim",VLOOKUP("Call of Duty Pass",Parâmetros!$A$11:$B$13,2,0),0)*K976</f>
        <v>0</v>
      </c>
      <c r="P976" s="10">
        <f>(L976*K976+M976+N976+O976)*IF(F976="Promoção",1-Parâmetros!$B$22,1)</f>
        <v>863.52</v>
      </c>
      <c r="Q976" s="10">
        <f>Parâmetros!$B$20*K976</f>
        <v>288</v>
      </c>
      <c r="R976" s="10">
        <f>P976-Q976</f>
        <v>575.52</v>
      </c>
    </row>
    <row r="977" spans="1:18">
      <c r="A977">
        <v>976</v>
      </c>
      <c r="B977" s="8">
        <v>45409</v>
      </c>
      <c r="C977" t="s">
        <v>8</v>
      </c>
      <c r="D977" t="s">
        <v>46</v>
      </c>
      <c r="E977" t="s">
        <v>41</v>
      </c>
      <c r="F977" t="s">
        <v>42</v>
      </c>
      <c r="G977" t="s">
        <v>44</v>
      </c>
      <c r="H977" t="s">
        <v>43</v>
      </c>
      <c r="I977" t="s">
        <v>43</v>
      </c>
      <c r="J977" t="s">
        <v>49</v>
      </c>
      <c r="K977" s="9">
        <v>6</v>
      </c>
      <c r="L977" s="10">
        <f>IFERROR(VLOOKUP(C977,Parâmetros!$A$5:$D$7,IF(D977="Mensal",2,IF(D977="Trimestral",3,4)),0),0)</f>
        <v>21.99</v>
      </c>
      <c r="M977" s="10">
        <f>IF(G977="Sim",VLOOKUP("EA Play",Parâmetros!$A$11:$B$13,2,0),0)*K977</f>
        <v>0</v>
      </c>
      <c r="N977" s="10">
        <f>IF(H977="Sim",VLOOKUP("Minecraft Pass",Parâmetros!$A$11:$B$13,2,0),0)*K977</f>
        <v>23.94</v>
      </c>
      <c r="O977" s="10">
        <f>IF(I977="Sim",VLOOKUP("Call of Duty Pass",Parâmetros!$A$11:$B$13,2,0),0)*K977</f>
        <v>41.94</v>
      </c>
      <c r="P977" s="10">
        <f>(L977*K977+M977+N977+O977)*IF(F977="Promoção",1-Parâmetros!$B$22,1)</f>
        <v>197.82</v>
      </c>
      <c r="Q977" s="10">
        <f>Parâmetros!$B$20*K977</f>
        <v>72</v>
      </c>
      <c r="R977" s="10">
        <f>P977-Q977</f>
        <v>125.82</v>
      </c>
    </row>
    <row r="978" spans="1:18">
      <c r="A978">
        <v>977</v>
      </c>
      <c r="B978" s="8">
        <v>45648</v>
      </c>
      <c r="C978" t="s">
        <v>7</v>
      </c>
      <c r="D978" t="s">
        <v>40</v>
      </c>
      <c r="E978" t="s">
        <v>47</v>
      </c>
      <c r="F978" t="s">
        <v>54</v>
      </c>
      <c r="G978" t="s">
        <v>43</v>
      </c>
      <c r="H978" t="s">
        <v>44</v>
      </c>
      <c r="I978" t="s">
        <v>44</v>
      </c>
      <c r="J978" t="s">
        <v>49</v>
      </c>
      <c r="K978" s="9">
        <v>13</v>
      </c>
      <c r="L978" s="10">
        <f>IFERROR(VLOOKUP(C978,Parâmetros!$A$5:$D$7,IF(D978="Mensal",2,IF(D978="Trimestral",3,4)),0),0)</f>
        <v>40</v>
      </c>
      <c r="M978" s="10">
        <f>IF(G978="Sim",VLOOKUP("EA Play",Parâmetros!$A$11:$B$13,2,0),0)*K978</f>
        <v>64.87</v>
      </c>
      <c r="N978" s="10">
        <f>IF(H978="Sim",VLOOKUP("Minecraft Pass",Parâmetros!$A$11:$B$13,2,0),0)*K978</f>
        <v>0</v>
      </c>
      <c r="O978" s="10">
        <f>IF(I978="Sim",VLOOKUP("Call of Duty Pass",Parâmetros!$A$11:$B$13,2,0),0)*K978</f>
        <v>0</v>
      </c>
      <c r="P978" s="10">
        <f>(L978*K978+M978+N978+O978)*IF(F978="Promoção",1-Parâmetros!$B$22,1)</f>
        <v>526.38300000000004</v>
      </c>
      <c r="Q978" s="10">
        <f>Parâmetros!$B$20*K978</f>
        <v>156</v>
      </c>
      <c r="R978" s="10">
        <f>P978-Q978</f>
        <v>370.38300000000004</v>
      </c>
    </row>
    <row r="979" spans="1:18">
      <c r="A979">
        <v>978</v>
      </c>
      <c r="B979" s="8">
        <v>45995</v>
      </c>
      <c r="C979" t="s">
        <v>8</v>
      </c>
      <c r="D979" t="s">
        <v>40</v>
      </c>
      <c r="E979" t="s">
        <v>53</v>
      </c>
      <c r="F979" t="s">
        <v>42</v>
      </c>
      <c r="G979" t="s">
        <v>44</v>
      </c>
      <c r="H979" t="s">
        <v>44</v>
      </c>
      <c r="I979" t="s">
        <v>43</v>
      </c>
      <c r="J979" t="s">
        <v>49</v>
      </c>
      <c r="K979" s="9">
        <v>32</v>
      </c>
      <c r="L979" s="10">
        <f>IFERROR(VLOOKUP(C979,Parâmetros!$A$5:$D$7,IF(D979="Mensal",2,IF(D979="Trimestral",3,4)),0),0)</f>
        <v>59</v>
      </c>
      <c r="M979" s="10">
        <f>IF(G979="Sim",VLOOKUP("EA Play",Parâmetros!$A$11:$B$13,2,0),0)*K979</f>
        <v>0</v>
      </c>
      <c r="N979" s="10">
        <f>IF(H979="Sim",VLOOKUP("Minecraft Pass",Parâmetros!$A$11:$B$13,2,0),0)*K979</f>
        <v>0</v>
      </c>
      <c r="O979" s="10">
        <f>IF(I979="Sim",VLOOKUP("Call of Duty Pass",Parâmetros!$A$11:$B$13,2,0),0)*K979</f>
        <v>223.68</v>
      </c>
      <c r="P979" s="10">
        <f>(L979*K979+M979+N979+O979)*IF(F979="Promoção",1-Parâmetros!$B$22,1)</f>
        <v>2111.6799999999998</v>
      </c>
      <c r="Q979" s="10">
        <f>Parâmetros!$B$20*K979</f>
        <v>384</v>
      </c>
      <c r="R979" s="10">
        <f>P979-Q979</f>
        <v>1727.6799999999998</v>
      </c>
    </row>
    <row r="980" spans="1:18">
      <c r="A980">
        <v>979</v>
      </c>
      <c r="B980" s="8">
        <v>45735</v>
      </c>
      <c r="C980" t="s">
        <v>8</v>
      </c>
      <c r="D980" t="s">
        <v>46</v>
      </c>
      <c r="E980" t="s">
        <v>51</v>
      </c>
      <c r="F980" t="s">
        <v>54</v>
      </c>
      <c r="G980" t="s">
        <v>44</v>
      </c>
      <c r="H980" t="s">
        <v>44</v>
      </c>
      <c r="I980" t="s">
        <v>44</v>
      </c>
      <c r="J980" t="s">
        <v>45</v>
      </c>
      <c r="K980" s="9">
        <v>24</v>
      </c>
      <c r="L980" s="10">
        <f>IFERROR(VLOOKUP(C980,Parâmetros!$A$5:$D$7,IF(D980="Mensal",2,IF(D980="Trimestral",3,4)),0),0)</f>
        <v>21.99</v>
      </c>
      <c r="M980" s="10">
        <f>IF(G980="Sim",VLOOKUP("EA Play",Parâmetros!$A$11:$B$13,2,0),0)*K980</f>
        <v>0</v>
      </c>
      <c r="N980" s="10">
        <f>IF(H980="Sim",VLOOKUP("Minecraft Pass",Parâmetros!$A$11:$B$13,2,0),0)*K980</f>
        <v>0</v>
      </c>
      <c r="O980" s="10">
        <f>IF(I980="Sim",VLOOKUP("Call of Duty Pass",Parâmetros!$A$11:$B$13,2,0),0)*K980</f>
        <v>0</v>
      </c>
      <c r="P980" s="10">
        <f>(L980*K980+M980+N980+O980)*IF(F980="Promoção",1-Parâmetros!$B$22,1)</f>
        <v>474.98399999999998</v>
      </c>
      <c r="Q980" s="10">
        <f>Parâmetros!$B$20*K980</f>
        <v>288</v>
      </c>
      <c r="R980" s="10">
        <f>P980-Q980</f>
        <v>186.98399999999998</v>
      </c>
    </row>
    <row r="981" spans="1:18">
      <c r="A981">
        <v>980</v>
      </c>
      <c r="B981" s="8">
        <v>45939</v>
      </c>
      <c r="C981" t="s">
        <v>8</v>
      </c>
      <c r="D981" t="s">
        <v>46</v>
      </c>
      <c r="E981" t="s">
        <v>55</v>
      </c>
      <c r="F981" t="s">
        <v>54</v>
      </c>
      <c r="G981" t="s">
        <v>43</v>
      </c>
      <c r="H981" t="s">
        <v>44</v>
      </c>
      <c r="I981" t="s">
        <v>44</v>
      </c>
      <c r="J981" t="s">
        <v>45</v>
      </c>
      <c r="K981" s="9">
        <v>34</v>
      </c>
      <c r="L981" s="10">
        <f>IFERROR(VLOOKUP(C981,Parâmetros!$A$5:$D$7,IF(D981="Mensal",2,IF(D981="Trimestral",3,4)),0),0)</f>
        <v>21.99</v>
      </c>
      <c r="M981" s="10">
        <f>IF(G981="Sim",VLOOKUP("EA Play",Parâmetros!$A$11:$B$13,2,0),0)*K981</f>
        <v>169.66</v>
      </c>
      <c r="N981" s="10">
        <f>IF(H981="Sim",VLOOKUP("Minecraft Pass",Parâmetros!$A$11:$B$13,2,0),0)*K981</f>
        <v>0</v>
      </c>
      <c r="O981" s="10">
        <f>IF(I981="Sim",VLOOKUP("Call of Duty Pass",Parâmetros!$A$11:$B$13,2,0),0)*K981</f>
        <v>0</v>
      </c>
      <c r="P981" s="10">
        <f>(L981*K981+M981+N981+O981)*IF(F981="Promoção",1-Parâmetros!$B$22,1)</f>
        <v>825.58799999999997</v>
      </c>
      <c r="Q981" s="10">
        <f>Parâmetros!$B$20*K981</f>
        <v>408</v>
      </c>
      <c r="R981" s="10">
        <f>P981-Q981</f>
        <v>417.58799999999997</v>
      </c>
    </row>
    <row r="982" spans="1:18">
      <c r="A982">
        <v>981</v>
      </c>
      <c r="B982" s="8">
        <v>45652</v>
      </c>
      <c r="C982" t="s">
        <v>6</v>
      </c>
      <c r="D982" t="s">
        <v>46</v>
      </c>
      <c r="E982" t="s">
        <v>51</v>
      </c>
      <c r="F982" t="s">
        <v>48</v>
      </c>
      <c r="G982" t="s">
        <v>43</v>
      </c>
      <c r="H982" t="s">
        <v>43</v>
      </c>
      <c r="I982" t="s">
        <v>43</v>
      </c>
      <c r="J982" t="s">
        <v>49</v>
      </c>
      <c r="K982" s="9">
        <v>10</v>
      </c>
      <c r="L982" s="10">
        <f>IFERROR(VLOOKUP(C982,Parâmetros!$A$5:$D$7,IF(D982="Mensal",2,IF(D982="Trimestral",3,4)),0),0)</f>
        <v>9.99</v>
      </c>
      <c r="M982" s="10">
        <f>IF(G982="Sim",VLOOKUP("EA Play",Parâmetros!$A$11:$B$13,2,0),0)*K982</f>
        <v>49.900000000000006</v>
      </c>
      <c r="N982" s="10">
        <f>IF(H982="Sim",VLOOKUP("Minecraft Pass",Parâmetros!$A$11:$B$13,2,0),0)*K982</f>
        <v>39.900000000000006</v>
      </c>
      <c r="O982" s="10">
        <f>IF(I982="Sim",VLOOKUP("Call of Duty Pass",Parâmetros!$A$11:$B$13,2,0),0)*K982</f>
        <v>69.900000000000006</v>
      </c>
      <c r="P982" s="10">
        <f>(L982*K982+M982+N982+O982)*IF(F982="Promoção",1-Parâmetros!$B$22,1)</f>
        <v>259.60000000000002</v>
      </c>
      <c r="Q982" s="10">
        <f>Parâmetros!$B$20*K982</f>
        <v>120</v>
      </c>
      <c r="R982" s="10">
        <f>P982-Q982</f>
        <v>139.60000000000002</v>
      </c>
    </row>
    <row r="983" spans="1:18">
      <c r="A983">
        <v>982</v>
      </c>
      <c r="B983" s="8">
        <v>45613</v>
      </c>
      <c r="C983" t="s">
        <v>6</v>
      </c>
      <c r="D983" t="s">
        <v>46</v>
      </c>
      <c r="E983" t="s">
        <v>41</v>
      </c>
      <c r="F983" t="s">
        <v>42</v>
      </c>
      <c r="G983" t="s">
        <v>44</v>
      </c>
      <c r="H983" t="s">
        <v>44</v>
      </c>
      <c r="I983" t="s">
        <v>44</v>
      </c>
      <c r="J983" t="s">
        <v>45</v>
      </c>
      <c r="K983" s="9">
        <v>25</v>
      </c>
      <c r="L983" s="10">
        <f>IFERROR(VLOOKUP(C983,Parâmetros!$A$5:$D$7,IF(D983="Mensal",2,IF(D983="Trimestral",3,4)),0),0)</f>
        <v>9.99</v>
      </c>
      <c r="M983" s="10">
        <f>IF(G983="Sim",VLOOKUP("EA Play",Parâmetros!$A$11:$B$13,2,0),0)*K983</f>
        <v>0</v>
      </c>
      <c r="N983" s="10">
        <f>IF(H983="Sim",VLOOKUP("Minecraft Pass",Parâmetros!$A$11:$B$13,2,0),0)*K983</f>
        <v>0</v>
      </c>
      <c r="O983" s="10">
        <f>IF(I983="Sim",VLOOKUP("Call of Duty Pass",Parâmetros!$A$11:$B$13,2,0),0)*K983</f>
        <v>0</v>
      </c>
      <c r="P983" s="10">
        <f>(L983*K983+M983+N983+O983)*IF(F983="Promoção",1-Parâmetros!$B$22,1)</f>
        <v>249.75</v>
      </c>
      <c r="Q983" s="10">
        <f>Parâmetros!$B$20*K983</f>
        <v>300</v>
      </c>
      <c r="R983" s="10">
        <f>P983-Q983</f>
        <v>-50.25</v>
      </c>
    </row>
    <row r="984" spans="1:18">
      <c r="A984">
        <v>983</v>
      </c>
      <c r="B984" s="8">
        <v>45582</v>
      </c>
      <c r="C984" t="s">
        <v>7</v>
      </c>
      <c r="D984" t="s">
        <v>40</v>
      </c>
      <c r="E984" t="s">
        <v>41</v>
      </c>
      <c r="F984" t="s">
        <v>42</v>
      </c>
      <c r="G984" t="s">
        <v>44</v>
      </c>
      <c r="H984" t="s">
        <v>44</v>
      </c>
      <c r="I984" t="s">
        <v>44</v>
      </c>
      <c r="J984" t="s">
        <v>49</v>
      </c>
      <c r="K984" s="9">
        <v>27</v>
      </c>
      <c r="L984" s="10">
        <f>IFERROR(VLOOKUP(C984,Parâmetros!$A$5:$D$7,IF(D984="Mensal",2,IF(D984="Trimestral",3,4)),0),0)</f>
        <v>40</v>
      </c>
      <c r="M984" s="10">
        <f>IF(G984="Sim",VLOOKUP("EA Play",Parâmetros!$A$11:$B$13,2,0),0)*K984</f>
        <v>0</v>
      </c>
      <c r="N984" s="10">
        <f>IF(H984="Sim",VLOOKUP("Minecraft Pass",Parâmetros!$A$11:$B$13,2,0),0)*K984</f>
        <v>0</v>
      </c>
      <c r="O984" s="10">
        <f>IF(I984="Sim",VLOOKUP("Call of Duty Pass",Parâmetros!$A$11:$B$13,2,0),0)*K984</f>
        <v>0</v>
      </c>
      <c r="P984" s="10">
        <f>(L984*K984+M984+N984+O984)*IF(F984="Promoção",1-Parâmetros!$B$22,1)</f>
        <v>1080</v>
      </c>
      <c r="Q984" s="10">
        <f>Parâmetros!$B$20*K984</f>
        <v>324</v>
      </c>
      <c r="R984" s="10">
        <f>P984-Q984</f>
        <v>756</v>
      </c>
    </row>
    <row r="985" spans="1:18">
      <c r="A985">
        <v>984</v>
      </c>
      <c r="B985" s="8">
        <v>45990</v>
      </c>
      <c r="C985" t="s">
        <v>8</v>
      </c>
      <c r="D985" t="s">
        <v>46</v>
      </c>
      <c r="E985" t="s">
        <v>41</v>
      </c>
      <c r="F985" t="s">
        <v>42</v>
      </c>
      <c r="G985" t="s">
        <v>44</v>
      </c>
      <c r="H985" t="s">
        <v>44</v>
      </c>
      <c r="I985" t="s">
        <v>44</v>
      </c>
      <c r="J985" t="s">
        <v>49</v>
      </c>
      <c r="K985" s="9">
        <v>8</v>
      </c>
      <c r="L985" s="10">
        <f>IFERROR(VLOOKUP(C985,Parâmetros!$A$5:$D$7,IF(D985="Mensal",2,IF(D985="Trimestral",3,4)),0),0)</f>
        <v>21.99</v>
      </c>
      <c r="M985" s="10">
        <f>IF(G985="Sim",VLOOKUP("EA Play",Parâmetros!$A$11:$B$13,2,0),0)*K985</f>
        <v>0</v>
      </c>
      <c r="N985" s="10">
        <f>IF(H985="Sim",VLOOKUP("Minecraft Pass",Parâmetros!$A$11:$B$13,2,0),0)*K985</f>
        <v>0</v>
      </c>
      <c r="O985" s="10">
        <f>IF(I985="Sim",VLOOKUP("Call of Duty Pass",Parâmetros!$A$11:$B$13,2,0),0)*K985</f>
        <v>0</v>
      </c>
      <c r="P985" s="10">
        <f>(L985*K985+M985+N985+O985)*IF(F985="Promoção",1-Parâmetros!$B$22,1)</f>
        <v>175.92</v>
      </c>
      <c r="Q985" s="10">
        <f>Parâmetros!$B$20*K985</f>
        <v>96</v>
      </c>
      <c r="R985" s="10">
        <f>P985-Q985</f>
        <v>79.919999999999987</v>
      </c>
    </row>
    <row r="986" spans="1:18">
      <c r="A986">
        <v>985</v>
      </c>
      <c r="B986" s="8">
        <v>45755</v>
      </c>
      <c r="C986" t="s">
        <v>6</v>
      </c>
      <c r="D986" t="s">
        <v>46</v>
      </c>
      <c r="E986" t="s">
        <v>41</v>
      </c>
      <c r="F986" t="s">
        <v>48</v>
      </c>
      <c r="G986" t="s">
        <v>43</v>
      </c>
      <c r="H986" t="s">
        <v>44</v>
      </c>
      <c r="I986" t="s">
        <v>44</v>
      </c>
      <c r="J986" t="s">
        <v>45</v>
      </c>
      <c r="K986" s="9">
        <v>30</v>
      </c>
      <c r="L986" s="10">
        <f>IFERROR(VLOOKUP(C986,Parâmetros!$A$5:$D$7,IF(D986="Mensal",2,IF(D986="Trimestral",3,4)),0),0)</f>
        <v>9.99</v>
      </c>
      <c r="M986" s="10">
        <f>IF(G986="Sim",VLOOKUP("EA Play",Parâmetros!$A$11:$B$13,2,0),0)*K986</f>
        <v>149.70000000000002</v>
      </c>
      <c r="N986" s="10">
        <f>IF(H986="Sim",VLOOKUP("Minecraft Pass",Parâmetros!$A$11:$B$13,2,0),0)*K986</f>
        <v>0</v>
      </c>
      <c r="O986" s="10">
        <f>IF(I986="Sim",VLOOKUP("Call of Duty Pass",Parâmetros!$A$11:$B$13,2,0),0)*K986</f>
        <v>0</v>
      </c>
      <c r="P986" s="10">
        <f>(L986*K986+M986+N986+O986)*IF(F986="Promoção",1-Parâmetros!$B$22,1)</f>
        <v>449.4</v>
      </c>
      <c r="Q986" s="10">
        <f>Parâmetros!$B$20*K986</f>
        <v>360</v>
      </c>
      <c r="R986" s="10">
        <f>P986-Q986</f>
        <v>89.399999999999977</v>
      </c>
    </row>
    <row r="987" spans="1:18">
      <c r="A987">
        <v>986</v>
      </c>
      <c r="B987" s="8">
        <v>45583</v>
      </c>
      <c r="C987" t="s">
        <v>6</v>
      </c>
      <c r="D987" t="s">
        <v>50</v>
      </c>
      <c r="E987" t="s">
        <v>41</v>
      </c>
      <c r="F987" t="s">
        <v>48</v>
      </c>
      <c r="G987" t="s">
        <v>44</v>
      </c>
      <c r="H987" t="s">
        <v>43</v>
      </c>
      <c r="I987" t="s">
        <v>43</v>
      </c>
      <c r="J987" t="s">
        <v>49</v>
      </c>
      <c r="K987" s="9">
        <v>27</v>
      </c>
      <c r="L987" s="10">
        <f>IFERROR(VLOOKUP(C987,Parâmetros!$A$5:$D$7,IF(D987="Mensal",2,IF(D987="Trimestral",3,4)),0),0)</f>
        <v>99</v>
      </c>
      <c r="M987" s="10">
        <f>IF(G987="Sim",VLOOKUP("EA Play",Parâmetros!$A$11:$B$13,2,0),0)*K987</f>
        <v>0</v>
      </c>
      <c r="N987" s="10">
        <f>IF(H987="Sim",VLOOKUP("Minecraft Pass",Parâmetros!$A$11:$B$13,2,0),0)*K987</f>
        <v>107.73</v>
      </c>
      <c r="O987" s="10">
        <f>IF(I987="Sim",VLOOKUP("Call of Duty Pass",Parâmetros!$A$11:$B$13,2,0),0)*K987</f>
        <v>188.73000000000002</v>
      </c>
      <c r="P987" s="10">
        <f>(L987*K987+M987+N987+O987)*IF(F987="Promoção",1-Parâmetros!$B$22,1)</f>
        <v>2969.46</v>
      </c>
      <c r="Q987" s="10">
        <f>Parâmetros!$B$20*K987</f>
        <v>324</v>
      </c>
      <c r="R987" s="10">
        <f>P987-Q987</f>
        <v>2645.46</v>
      </c>
    </row>
    <row r="988" spans="1:18">
      <c r="A988">
        <v>987</v>
      </c>
      <c r="B988" s="8">
        <v>45600</v>
      </c>
      <c r="C988" t="s">
        <v>6</v>
      </c>
      <c r="D988" t="s">
        <v>40</v>
      </c>
      <c r="E988" t="s">
        <v>41</v>
      </c>
      <c r="F988" t="s">
        <v>48</v>
      </c>
      <c r="G988" t="s">
        <v>43</v>
      </c>
      <c r="H988" t="s">
        <v>44</v>
      </c>
      <c r="I988" t="s">
        <v>44</v>
      </c>
      <c r="J988" t="s">
        <v>45</v>
      </c>
      <c r="K988" s="9">
        <v>30</v>
      </c>
      <c r="L988" s="10">
        <f>IFERROR(VLOOKUP(C988,Parâmetros!$A$5:$D$7,IF(D988="Mensal",2,IF(D988="Trimestral",3,4)),0),0)</f>
        <v>27</v>
      </c>
      <c r="M988" s="10">
        <f>IF(G988="Sim",VLOOKUP("EA Play",Parâmetros!$A$11:$B$13,2,0),0)*K988</f>
        <v>149.70000000000002</v>
      </c>
      <c r="N988" s="10">
        <f>IF(H988="Sim",VLOOKUP("Minecraft Pass",Parâmetros!$A$11:$B$13,2,0),0)*K988</f>
        <v>0</v>
      </c>
      <c r="O988" s="10">
        <f>IF(I988="Sim",VLOOKUP("Call of Duty Pass",Parâmetros!$A$11:$B$13,2,0),0)*K988</f>
        <v>0</v>
      </c>
      <c r="P988" s="10">
        <f>(L988*K988+M988+N988+O988)*IF(F988="Promoção",1-Parâmetros!$B$22,1)</f>
        <v>959.7</v>
      </c>
      <c r="Q988" s="10">
        <f>Parâmetros!$B$20*K988</f>
        <v>360</v>
      </c>
      <c r="R988" s="10">
        <f>P988-Q988</f>
        <v>599.70000000000005</v>
      </c>
    </row>
    <row r="989" spans="1:18">
      <c r="A989">
        <v>988</v>
      </c>
      <c r="B989" s="8">
        <v>45797</v>
      </c>
      <c r="C989" t="s">
        <v>8</v>
      </c>
      <c r="D989" t="s">
        <v>50</v>
      </c>
      <c r="E989" t="s">
        <v>41</v>
      </c>
      <c r="F989" t="s">
        <v>42</v>
      </c>
      <c r="G989" t="s">
        <v>44</v>
      </c>
      <c r="H989" t="s">
        <v>43</v>
      </c>
      <c r="I989" t="s">
        <v>43</v>
      </c>
      <c r="J989" t="s">
        <v>49</v>
      </c>
      <c r="K989" s="9">
        <v>7</v>
      </c>
      <c r="L989" s="10">
        <f>IFERROR(VLOOKUP(C989,Parâmetros!$A$5:$D$7,IF(D989="Mensal",2,IF(D989="Trimestral",3,4)),0),0)</f>
        <v>219</v>
      </c>
      <c r="M989" s="10">
        <f>IF(G989="Sim",VLOOKUP("EA Play",Parâmetros!$A$11:$B$13,2,0),0)*K989</f>
        <v>0</v>
      </c>
      <c r="N989" s="10">
        <f>IF(H989="Sim",VLOOKUP("Minecraft Pass",Parâmetros!$A$11:$B$13,2,0),0)*K989</f>
        <v>27.93</v>
      </c>
      <c r="O989" s="10">
        <f>IF(I989="Sim",VLOOKUP("Call of Duty Pass",Parâmetros!$A$11:$B$13,2,0),0)*K989</f>
        <v>48.93</v>
      </c>
      <c r="P989" s="10">
        <f>(L989*K989+M989+N989+O989)*IF(F989="Promoção",1-Parâmetros!$B$22,1)</f>
        <v>1609.8600000000001</v>
      </c>
      <c r="Q989" s="10">
        <f>Parâmetros!$B$20*K989</f>
        <v>84</v>
      </c>
      <c r="R989" s="10">
        <f>P989-Q989</f>
        <v>1525.8600000000001</v>
      </c>
    </row>
    <row r="990" spans="1:18">
      <c r="A990">
        <v>989</v>
      </c>
      <c r="B990" s="8">
        <v>45622</v>
      </c>
      <c r="C990" t="s">
        <v>8</v>
      </c>
      <c r="D990" t="s">
        <v>40</v>
      </c>
      <c r="E990" t="s">
        <v>41</v>
      </c>
      <c r="F990" t="s">
        <v>42</v>
      </c>
      <c r="G990" t="s">
        <v>44</v>
      </c>
      <c r="H990" t="s">
        <v>44</v>
      </c>
      <c r="I990" t="s">
        <v>44</v>
      </c>
      <c r="J990" t="s">
        <v>49</v>
      </c>
      <c r="K990" s="9">
        <v>1</v>
      </c>
      <c r="L990" s="10">
        <f>IFERROR(VLOOKUP(C990,Parâmetros!$A$5:$D$7,IF(D990="Mensal",2,IF(D990="Trimestral",3,4)),0),0)</f>
        <v>59</v>
      </c>
      <c r="M990" s="10">
        <f>IF(G990="Sim",VLOOKUP("EA Play",Parâmetros!$A$11:$B$13,2,0),0)*K990</f>
        <v>0</v>
      </c>
      <c r="N990" s="10">
        <f>IF(H990="Sim",VLOOKUP("Minecraft Pass",Parâmetros!$A$11:$B$13,2,0),0)*K990</f>
        <v>0</v>
      </c>
      <c r="O990" s="10">
        <f>IF(I990="Sim",VLOOKUP("Call of Duty Pass",Parâmetros!$A$11:$B$13,2,0),0)*K990</f>
        <v>0</v>
      </c>
      <c r="P990" s="10">
        <f>(L990*K990+M990+N990+O990)*IF(F990="Promoção",1-Parâmetros!$B$22,1)</f>
        <v>59</v>
      </c>
      <c r="Q990" s="10">
        <f>Parâmetros!$B$20*K990</f>
        <v>12</v>
      </c>
      <c r="R990" s="10">
        <f>P990-Q990</f>
        <v>47</v>
      </c>
    </row>
    <row r="991" spans="1:18">
      <c r="A991">
        <v>990</v>
      </c>
      <c r="B991" s="8">
        <v>45996</v>
      </c>
      <c r="C991" t="s">
        <v>8</v>
      </c>
      <c r="D991" t="s">
        <v>46</v>
      </c>
      <c r="E991" t="s">
        <v>51</v>
      </c>
      <c r="F991" t="s">
        <v>42</v>
      </c>
      <c r="G991" t="s">
        <v>44</v>
      </c>
      <c r="H991" t="s">
        <v>43</v>
      </c>
      <c r="I991" t="s">
        <v>44</v>
      </c>
      <c r="J991" t="s">
        <v>45</v>
      </c>
      <c r="K991" s="9">
        <v>25</v>
      </c>
      <c r="L991" s="10">
        <f>IFERROR(VLOOKUP(C991,Parâmetros!$A$5:$D$7,IF(D991="Mensal",2,IF(D991="Trimestral",3,4)),0),0)</f>
        <v>21.99</v>
      </c>
      <c r="M991" s="10">
        <f>IF(G991="Sim",VLOOKUP("EA Play",Parâmetros!$A$11:$B$13,2,0),0)*K991</f>
        <v>0</v>
      </c>
      <c r="N991" s="10">
        <f>IF(H991="Sim",VLOOKUP("Minecraft Pass",Parâmetros!$A$11:$B$13,2,0),0)*K991</f>
        <v>99.75</v>
      </c>
      <c r="O991" s="10">
        <f>IF(I991="Sim",VLOOKUP("Call of Duty Pass",Parâmetros!$A$11:$B$13,2,0),0)*K991</f>
        <v>0</v>
      </c>
      <c r="P991" s="10">
        <f>(L991*K991+M991+N991+O991)*IF(F991="Promoção",1-Parâmetros!$B$22,1)</f>
        <v>649.5</v>
      </c>
      <c r="Q991" s="10">
        <f>Parâmetros!$B$20*K991</f>
        <v>300</v>
      </c>
      <c r="R991" s="10">
        <f>P991-Q991</f>
        <v>349.5</v>
      </c>
    </row>
    <row r="992" spans="1:18">
      <c r="A992">
        <v>991</v>
      </c>
      <c r="B992" s="8">
        <v>45568</v>
      </c>
      <c r="C992" t="s">
        <v>7</v>
      </c>
      <c r="D992" t="s">
        <v>50</v>
      </c>
      <c r="E992" t="s">
        <v>47</v>
      </c>
      <c r="F992" t="s">
        <v>42</v>
      </c>
      <c r="G992" t="s">
        <v>43</v>
      </c>
      <c r="H992" t="s">
        <v>43</v>
      </c>
      <c r="I992" t="s">
        <v>44</v>
      </c>
      <c r="J992" t="s">
        <v>45</v>
      </c>
      <c r="K992" s="9">
        <v>27</v>
      </c>
      <c r="L992" s="10">
        <f>IFERROR(VLOOKUP(C992,Parâmetros!$A$5:$D$7,IF(D992="Mensal",2,IF(D992="Trimestral",3,4)),0),0)</f>
        <v>149</v>
      </c>
      <c r="M992" s="10">
        <f>IF(G992="Sim",VLOOKUP("EA Play",Parâmetros!$A$11:$B$13,2,0),0)*K992</f>
        <v>134.73000000000002</v>
      </c>
      <c r="N992" s="10">
        <f>IF(H992="Sim",VLOOKUP("Minecraft Pass",Parâmetros!$A$11:$B$13,2,0),0)*K992</f>
        <v>107.73</v>
      </c>
      <c r="O992" s="10">
        <f>IF(I992="Sim",VLOOKUP("Call of Duty Pass",Parâmetros!$A$11:$B$13,2,0),0)*K992</f>
        <v>0</v>
      </c>
      <c r="P992" s="10">
        <f>(L992*K992+M992+N992+O992)*IF(F992="Promoção",1-Parâmetros!$B$22,1)</f>
        <v>4265.4599999999991</v>
      </c>
      <c r="Q992" s="10">
        <f>Parâmetros!$B$20*K992</f>
        <v>324</v>
      </c>
      <c r="R992" s="10">
        <f>P992-Q992</f>
        <v>3941.4599999999991</v>
      </c>
    </row>
    <row r="993" spans="1:18">
      <c r="A993">
        <v>992</v>
      </c>
      <c r="B993" s="8">
        <v>45944</v>
      </c>
      <c r="C993" t="s">
        <v>7</v>
      </c>
      <c r="D993" t="s">
        <v>46</v>
      </c>
      <c r="E993" t="s">
        <v>47</v>
      </c>
      <c r="F993" t="s">
        <v>48</v>
      </c>
      <c r="G993" t="s">
        <v>44</v>
      </c>
      <c r="H993" t="s">
        <v>44</v>
      </c>
      <c r="I993" t="s">
        <v>44</v>
      </c>
      <c r="J993" t="s">
        <v>45</v>
      </c>
      <c r="K993" s="9">
        <v>15</v>
      </c>
      <c r="L993" s="10">
        <f>IFERROR(VLOOKUP(C993,Parâmetros!$A$5:$D$7,IF(D993="Mensal",2,IF(D993="Trimestral",3,4)),0),0)</f>
        <v>14.99</v>
      </c>
      <c r="M993" s="10">
        <f>IF(G993="Sim",VLOOKUP("EA Play",Parâmetros!$A$11:$B$13,2,0),0)*K993</f>
        <v>0</v>
      </c>
      <c r="N993" s="10">
        <f>IF(H993="Sim",VLOOKUP("Minecraft Pass",Parâmetros!$A$11:$B$13,2,0),0)*K993</f>
        <v>0</v>
      </c>
      <c r="O993" s="10">
        <f>IF(I993="Sim",VLOOKUP("Call of Duty Pass",Parâmetros!$A$11:$B$13,2,0),0)*K993</f>
        <v>0</v>
      </c>
      <c r="P993" s="10">
        <f>(L993*K993+M993+N993+O993)*IF(F993="Promoção",1-Parâmetros!$B$22,1)</f>
        <v>224.85</v>
      </c>
      <c r="Q993" s="10">
        <f>Parâmetros!$B$20*K993</f>
        <v>180</v>
      </c>
      <c r="R993" s="10">
        <f>P993-Q993</f>
        <v>44.849999999999994</v>
      </c>
    </row>
    <row r="994" spans="1:18">
      <c r="A994">
        <v>993</v>
      </c>
      <c r="B994" s="8">
        <v>45386</v>
      </c>
      <c r="C994" t="s">
        <v>6</v>
      </c>
      <c r="D994" t="s">
        <v>46</v>
      </c>
      <c r="E994" t="s">
        <v>41</v>
      </c>
      <c r="F994" t="s">
        <v>48</v>
      </c>
      <c r="G994" t="s">
        <v>44</v>
      </c>
      <c r="H994" t="s">
        <v>44</v>
      </c>
      <c r="I994" t="s">
        <v>44</v>
      </c>
      <c r="J994" t="s">
        <v>49</v>
      </c>
      <c r="K994" s="9">
        <v>5</v>
      </c>
      <c r="L994" s="10">
        <f>IFERROR(VLOOKUP(C994,Parâmetros!$A$5:$D$7,IF(D994="Mensal",2,IF(D994="Trimestral",3,4)),0),0)</f>
        <v>9.99</v>
      </c>
      <c r="M994" s="10">
        <f>IF(G994="Sim",VLOOKUP("EA Play",Parâmetros!$A$11:$B$13,2,0),0)*K994</f>
        <v>0</v>
      </c>
      <c r="N994" s="10">
        <f>IF(H994="Sim",VLOOKUP("Minecraft Pass",Parâmetros!$A$11:$B$13,2,0),0)*K994</f>
        <v>0</v>
      </c>
      <c r="O994" s="10">
        <f>IF(I994="Sim",VLOOKUP("Call of Duty Pass",Parâmetros!$A$11:$B$13,2,0),0)*K994</f>
        <v>0</v>
      </c>
      <c r="P994" s="10">
        <f>(L994*K994+M994+N994+O994)*IF(F994="Promoção",1-Parâmetros!$B$22,1)</f>
        <v>49.95</v>
      </c>
      <c r="Q994" s="10">
        <f>Parâmetros!$B$20*K994</f>
        <v>60</v>
      </c>
      <c r="R994" s="10">
        <f>P994-Q994</f>
        <v>-10.049999999999997</v>
      </c>
    </row>
    <row r="995" spans="1:18">
      <c r="A995">
        <v>994</v>
      </c>
      <c r="B995" s="8">
        <v>45368</v>
      </c>
      <c r="C995" t="s">
        <v>8</v>
      </c>
      <c r="D995" t="s">
        <v>46</v>
      </c>
      <c r="E995" t="s">
        <v>41</v>
      </c>
      <c r="F995" t="s">
        <v>42</v>
      </c>
      <c r="G995" t="s">
        <v>44</v>
      </c>
      <c r="H995" t="s">
        <v>43</v>
      </c>
      <c r="I995" t="s">
        <v>43</v>
      </c>
      <c r="J995" t="s">
        <v>49</v>
      </c>
      <c r="K995" s="9">
        <v>34</v>
      </c>
      <c r="L995" s="10">
        <f>IFERROR(VLOOKUP(C995,Parâmetros!$A$5:$D$7,IF(D995="Mensal",2,IF(D995="Trimestral",3,4)),0),0)</f>
        <v>21.99</v>
      </c>
      <c r="M995" s="10">
        <f>IF(G995="Sim",VLOOKUP("EA Play",Parâmetros!$A$11:$B$13,2,0),0)*K995</f>
        <v>0</v>
      </c>
      <c r="N995" s="10">
        <f>IF(H995="Sim",VLOOKUP("Minecraft Pass",Parâmetros!$A$11:$B$13,2,0),0)*K995</f>
        <v>135.66</v>
      </c>
      <c r="O995" s="10">
        <f>IF(I995="Sim",VLOOKUP("Call of Duty Pass",Parâmetros!$A$11:$B$13,2,0),0)*K995</f>
        <v>237.66</v>
      </c>
      <c r="P995" s="10">
        <f>(L995*K995+M995+N995+O995)*IF(F995="Promoção",1-Parâmetros!$B$22,1)</f>
        <v>1120.98</v>
      </c>
      <c r="Q995" s="10">
        <f>Parâmetros!$B$20*K995</f>
        <v>408</v>
      </c>
      <c r="R995" s="10">
        <f>P995-Q995</f>
        <v>712.98</v>
      </c>
    </row>
    <row r="996" spans="1:18">
      <c r="A996">
        <v>995</v>
      </c>
      <c r="B996" s="8">
        <v>45818</v>
      </c>
      <c r="C996" t="s">
        <v>8</v>
      </c>
      <c r="D996" t="s">
        <v>40</v>
      </c>
      <c r="E996" t="s">
        <v>41</v>
      </c>
      <c r="F996" t="s">
        <v>48</v>
      </c>
      <c r="G996" t="s">
        <v>43</v>
      </c>
      <c r="H996" t="s">
        <v>44</v>
      </c>
      <c r="I996" t="s">
        <v>44</v>
      </c>
      <c r="J996" t="s">
        <v>49</v>
      </c>
      <c r="K996" s="9">
        <v>24</v>
      </c>
      <c r="L996" s="10">
        <f>IFERROR(VLOOKUP(C996,Parâmetros!$A$5:$D$7,IF(D996="Mensal",2,IF(D996="Trimestral",3,4)),0),0)</f>
        <v>59</v>
      </c>
      <c r="M996" s="10">
        <f>IF(G996="Sim",VLOOKUP("EA Play",Parâmetros!$A$11:$B$13,2,0),0)*K996</f>
        <v>119.76</v>
      </c>
      <c r="N996" s="10">
        <f>IF(H996="Sim",VLOOKUP("Minecraft Pass",Parâmetros!$A$11:$B$13,2,0),0)*K996</f>
        <v>0</v>
      </c>
      <c r="O996" s="10">
        <f>IF(I996="Sim",VLOOKUP("Call of Duty Pass",Parâmetros!$A$11:$B$13,2,0),0)*K996</f>
        <v>0</v>
      </c>
      <c r="P996" s="10">
        <f>(L996*K996+M996+N996+O996)*IF(F996="Promoção",1-Parâmetros!$B$22,1)</f>
        <v>1535.76</v>
      </c>
      <c r="Q996" s="10">
        <f>Parâmetros!$B$20*K996</f>
        <v>288</v>
      </c>
      <c r="R996" s="10">
        <f>P996-Q996</f>
        <v>1247.76</v>
      </c>
    </row>
    <row r="997" spans="1:18">
      <c r="A997">
        <v>996</v>
      </c>
      <c r="B997" s="8">
        <v>45686</v>
      </c>
      <c r="C997" t="s">
        <v>8</v>
      </c>
      <c r="D997" t="s">
        <v>50</v>
      </c>
      <c r="E997" t="s">
        <v>47</v>
      </c>
      <c r="F997" t="s">
        <v>52</v>
      </c>
      <c r="G997" t="s">
        <v>43</v>
      </c>
      <c r="H997" t="s">
        <v>43</v>
      </c>
      <c r="I997" t="s">
        <v>43</v>
      </c>
      <c r="J997" t="s">
        <v>49</v>
      </c>
      <c r="K997" s="9">
        <v>7</v>
      </c>
      <c r="L997" s="10">
        <f>IFERROR(VLOOKUP(C997,Parâmetros!$A$5:$D$7,IF(D997="Mensal",2,IF(D997="Trimestral",3,4)),0),0)</f>
        <v>219</v>
      </c>
      <c r="M997" s="10">
        <f>IF(G997="Sim",VLOOKUP("EA Play",Parâmetros!$A$11:$B$13,2,0),0)*K997</f>
        <v>34.93</v>
      </c>
      <c r="N997" s="10">
        <f>IF(H997="Sim",VLOOKUP("Minecraft Pass",Parâmetros!$A$11:$B$13,2,0),0)*K997</f>
        <v>27.93</v>
      </c>
      <c r="O997" s="10">
        <f>IF(I997="Sim",VLOOKUP("Call of Duty Pass",Parâmetros!$A$11:$B$13,2,0),0)*K997</f>
        <v>48.93</v>
      </c>
      <c r="P997" s="10">
        <f>(L997*K997+M997+N997+O997)*IF(F997="Promoção",1-Parâmetros!$B$22,1)</f>
        <v>1644.7900000000002</v>
      </c>
      <c r="Q997" s="10">
        <f>Parâmetros!$B$20*K997</f>
        <v>84</v>
      </c>
      <c r="R997" s="10">
        <f>P997-Q997</f>
        <v>1560.7900000000002</v>
      </c>
    </row>
    <row r="998" spans="1:18">
      <c r="A998">
        <v>997</v>
      </c>
      <c r="B998" s="8">
        <v>45442</v>
      </c>
      <c r="C998" t="s">
        <v>7</v>
      </c>
      <c r="D998" t="s">
        <v>46</v>
      </c>
      <c r="E998" t="s">
        <v>41</v>
      </c>
      <c r="F998" t="s">
        <v>42</v>
      </c>
      <c r="G998" t="s">
        <v>44</v>
      </c>
      <c r="H998" t="s">
        <v>43</v>
      </c>
      <c r="I998" t="s">
        <v>44</v>
      </c>
      <c r="J998" t="s">
        <v>49</v>
      </c>
      <c r="K998" s="9">
        <v>23</v>
      </c>
      <c r="L998" s="10">
        <f>IFERROR(VLOOKUP(C998,Parâmetros!$A$5:$D$7,IF(D998="Mensal",2,IF(D998="Trimestral",3,4)),0),0)</f>
        <v>14.99</v>
      </c>
      <c r="M998" s="10">
        <f>IF(G998="Sim",VLOOKUP("EA Play",Parâmetros!$A$11:$B$13,2,0),0)*K998</f>
        <v>0</v>
      </c>
      <c r="N998" s="10">
        <f>IF(H998="Sim",VLOOKUP("Minecraft Pass",Parâmetros!$A$11:$B$13,2,0),0)*K998</f>
        <v>91.77000000000001</v>
      </c>
      <c r="O998" s="10">
        <f>IF(I998="Sim",VLOOKUP("Call of Duty Pass",Parâmetros!$A$11:$B$13,2,0),0)*K998</f>
        <v>0</v>
      </c>
      <c r="P998" s="10">
        <f>(L998*K998+M998+N998+O998)*IF(F998="Promoção",1-Parâmetros!$B$22,1)</f>
        <v>436.53999999999996</v>
      </c>
      <c r="Q998" s="10">
        <f>Parâmetros!$B$20*K998</f>
        <v>276</v>
      </c>
      <c r="R998" s="10">
        <f>P998-Q998</f>
        <v>160.53999999999996</v>
      </c>
    </row>
    <row r="999" spans="1:18">
      <c r="A999">
        <v>998</v>
      </c>
      <c r="B999" s="8">
        <v>45563</v>
      </c>
      <c r="C999" t="s">
        <v>6</v>
      </c>
      <c r="D999" t="s">
        <v>40</v>
      </c>
      <c r="E999" t="s">
        <v>41</v>
      </c>
      <c r="F999" t="s">
        <v>42</v>
      </c>
      <c r="G999" t="s">
        <v>43</v>
      </c>
      <c r="H999" t="s">
        <v>44</v>
      </c>
      <c r="I999" t="s">
        <v>44</v>
      </c>
      <c r="J999" t="s">
        <v>49</v>
      </c>
      <c r="K999" s="9">
        <v>24</v>
      </c>
      <c r="L999" s="10">
        <f>IFERROR(VLOOKUP(C999,Parâmetros!$A$5:$D$7,IF(D999="Mensal",2,IF(D999="Trimestral",3,4)),0),0)</f>
        <v>27</v>
      </c>
      <c r="M999" s="10">
        <f>IF(G999="Sim",VLOOKUP("EA Play",Parâmetros!$A$11:$B$13,2,0),0)*K999</f>
        <v>119.76</v>
      </c>
      <c r="N999" s="10">
        <f>IF(H999="Sim",VLOOKUP("Minecraft Pass",Parâmetros!$A$11:$B$13,2,0),0)*K999</f>
        <v>0</v>
      </c>
      <c r="O999" s="10">
        <f>IF(I999="Sim",VLOOKUP("Call of Duty Pass",Parâmetros!$A$11:$B$13,2,0),0)*K999</f>
        <v>0</v>
      </c>
      <c r="P999" s="10">
        <f>(L999*K999+M999+N999+O999)*IF(F999="Promoção",1-Parâmetros!$B$22,1)</f>
        <v>767.76</v>
      </c>
      <c r="Q999" s="10">
        <f>Parâmetros!$B$20*K999</f>
        <v>288</v>
      </c>
      <c r="R999" s="10">
        <f>P999-Q999</f>
        <v>479.76</v>
      </c>
    </row>
    <row r="1000" spans="1:18">
      <c r="A1000">
        <v>999</v>
      </c>
      <c r="B1000" s="8">
        <v>45392</v>
      </c>
      <c r="C1000" t="s">
        <v>6</v>
      </c>
      <c r="D1000" t="s">
        <v>46</v>
      </c>
      <c r="E1000" t="s">
        <v>55</v>
      </c>
      <c r="F1000" t="s">
        <v>42</v>
      </c>
      <c r="G1000" t="s">
        <v>43</v>
      </c>
      <c r="H1000" t="s">
        <v>43</v>
      </c>
      <c r="I1000" t="s">
        <v>43</v>
      </c>
      <c r="J1000" t="s">
        <v>45</v>
      </c>
      <c r="K1000" s="9">
        <v>34</v>
      </c>
      <c r="L1000" s="10">
        <f>IFERROR(VLOOKUP(C1000,Parâmetros!$A$5:$D$7,IF(D1000="Mensal",2,IF(D1000="Trimestral",3,4)),0),0)</f>
        <v>9.99</v>
      </c>
      <c r="M1000" s="10">
        <f>IF(G1000="Sim",VLOOKUP("EA Play",Parâmetros!$A$11:$B$13,2,0),0)*K1000</f>
        <v>169.66</v>
      </c>
      <c r="N1000" s="10">
        <f>IF(H1000="Sim",VLOOKUP("Minecraft Pass",Parâmetros!$A$11:$B$13,2,0),0)*K1000</f>
        <v>135.66</v>
      </c>
      <c r="O1000" s="10">
        <f>IF(I1000="Sim",VLOOKUP("Call of Duty Pass",Parâmetros!$A$11:$B$13,2,0),0)*K1000</f>
        <v>237.66</v>
      </c>
      <c r="P1000" s="10">
        <f>(L1000*K1000+M1000+N1000+O1000)*IF(F1000="Promoção",1-Parâmetros!$B$22,1)</f>
        <v>882.64</v>
      </c>
      <c r="Q1000" s="10">
        <f>Parâmetros!$B$20*K1000</f>
        <v>408</v>
      </c>
      <c r="R1000" s="10">
        <f>P1000-Q1000</f>
        <v>474.64</v>
      </c>
    </row>
    <row r="1001" spans="1:18">
      <c r="A1001">
        <v>1000</v>
      </c>
      <c r="B1001" s="8">
        <v>45735</v>
      </c>
      <c r="C1001" t="s">
        <v>6</v>
      </c>
      <c r="D1001" t="s">
        <v>46</v>
      </c>
      <c r="E1001" t="s">
        <v>41</v>
      </c>
      <c r="F1001" t="s">
        <v>42</v>
      </c>
      <c r="G1001" t="s">
        <v>43</v>
      </c>
      <c r="H1001" t="s">
        <v>44</v>
      </c>
      <c r="I1001" t="s">
        <v>44</v>
      </c>
      <c r="J1001" t="s">
        <v>49</v>
      </c>
      <c r="K1001" s="9">
        <v>35</v>
      </c>
      <c r="L1001" s="10">
        <f>IFERROR(VLOOKUP(C1001,Parâmetros!$A$5:$D$7,IF(D1001="Mensal",2,IF(D1001="Trimestral",3,4)),0),0)</f>
        <v>9.99</v>
      </c>
      <c r="M1001" s="10">
        <f>IF(G1001="Sim",VLOOKUP("EA Play",Parâmetros!$A$11:$B$13,2,0),0)*K1001</f>
        <v>174.65</v>
      </c>
      <c r="N1001" s="10">
        <f>IF(H1001="Sim",VLOOKUP("Minecraft Pass",Parâmetros!$A$11:$B$13,2,0),0)*K1001</f>
        <v>0</v>
      </c>
      <c r="O1001" s="10">
        <f>IF(I1001="Sim",VLOOKUP("Call of Duty Pass",Parâmetros!$A$11:$B$13,2,0),0)*K1001</f>
        <v>0</v>
      </c>
      <c r="P1001" s="10">
        <f>(L1001*K1001+M1001+N1001+O1001)*IF(F1001="Promoção",1-Parâmetros!$B$22,1)</f>
        <v>524.30000000000007</v>
      </c>
      <c r="Q1001" s="10">
        <f>Parâmetros!$B$20*K1001</f>
        <v>420</v>
      </c>
      <c r="R1001" s="10">
        <f>P1001-Q1001</f>
        <v>104.30000000000007</v>
      </c>
    </row>
    <row r="1002" spans="1:18">
      <c r="A1002">
        <v>1001</v>
      </c>
      <c r="B1002" s="8">
        <v>45395</v>
      </c>
      <c r="C1002" t="s">
        <v>6</v>
      </c>
      <c r="D1002" t="s">
        <v>50</v>
      </c>
      <c r="E1002" t="s">
        <v>51</v>
      </c>
      <c r="F1002" t="s">
        <v>48</v>
      </c>
      <c r="G1002" t="s">
        <v>43</v>
      </c>
      <c r="H1002" t="s">
        <v>43</v>
      </c>
      <c r="I1002" t="s">
        <v>44</v>
      </c>
      <c r="J1002" t="s">
        <v>45</v>
      </c>
      <c r="K1002" s="9">
        <v>32</v>
      </c>
      <c r="L1002" s="10">
        <f>IFERROR(VLOOKUP(C1002,Parâmetros!$A$5:$D$7,IF(D1002="Mensal",2,IF(D1002="Trimestral",3,4)),0),0)</f>
        <v>99</v>
      </c>
      <c r="M1002" s="10">
        <f>IF(G1002="Sim",VLOOKUP("EA Play",Parâmetros!$A$11:$B$13,2,0),0)*K1002</f>
        <v>159.68</v>
      </c>
      <c r="N1002" s="10">
        <f>IF(H1002="Sim",VLOOKUP("Minecraft Pass",Parâmetros!$A$11:$B$13,2,0),0)*K1002</f>
        <v>127.68</v>
      </c>
      <c r="O1002" s="10">
        <f>IF(I1002="Sim",VLOOKUP("Call of Duty Pass",Parâmetros!$A$11:$B$13,2,0),0)*K1002</f>
        <v>0</v>
      </c>
      <c r="P1002" s="10">
        <f>(L1002*K1002+M1002+N1002+O1002)*IF(F1002="Promoção",1-Parâmetros!$B$22,1)</f>
        <v>3455.3599999999997</v>
      </c>
      <c r="Q1002" s="10">
        <f>Parâmetros!$B$20*K1002</f>
        <v>384</v>
      </c>
      <c r="R1002" s="10">
        <f>P1002-Q1002</f>
        <v>3071.3599999999997</v>
      </c>
    </row>
    <row r="1003" spans="1:18">
      <c r="A1003">
        <v>1002</v>
      </c>
      <c r="B1003" s="8">
        <v>45502</v>
      </c>
      <c r="C1003" t="s">
        <v>6</v>
      </c>
      <c r="D1003" t="s">
        <v>46</v>
      </c>
      <c r="E1003" t="s">
        <v>47</v>
      </c>
      <c r="F1003" t="s">
        <v>52</v>
      </c>
      <c r="G1003" t="s">
        <v>43</v>
      </c>
      <c r="H1003" t="s">
        <v>43</v>
      </c>
      <c r="I1003" t="s">
        <v>43</v>
      </c>
      <c r="J1003" t="s">
        <v>45</v>
      </c>
      <c r="K1003" s="9">
        <v>31</v>
      </c>
      <c r="L1003" s="10">
        <f>IFERROR(VLOOKUP(C1003,Parâmetros!$A$5:$D$7,IF(D1003="Mensal",2,IF(D1003="Trimestral",3,4)),0),0)</f>
        <v>9.99</v>
      </c>
      <c r="M1003" s="10">
        <f>IF(G1003="Sim",VLOOKUP("EA Play",Parâmetros!$A$11:$B$13,2,0),0)*K1003</f>
        <v>154.69</v>
      </c>
      <c r="N1003" s="10">
        <f>IF(H1003="Sim",VLOOKUP("Minecraft Pass",Parâmetros!$A$11:$B$13,2,0),0)*K1003</f>
        <v>123.69000000000001</v>
      </c>
      <c r="O1003" s="10">
        <f>IF(I1003="Sim",VLOOKUP("Call of Duty Pass",Parâmetros!$A$11:$B$13,2,0),0)*K1003</f>
        <v>216.69</v>
      </c>
      <c r="P1003" s="10">
        <f>(L1003*K1003+M1003+N1003+O1003)*IF(F1003="Promoção",1-Parâmetros!$B$22,1)</f>
        <v>804.76</v>
      </c>
      <c r="Q1003" s="10">
        <f>Parâmetros!$B$20*K1003</f>
        <v>372</v>
      </c>
      <c r="R1003" s="10">
        <f>P1003-Q1003</f>
        <v>432.76</v>
      </c>
    </row>
    <row r="1004" spans="1:18">
      <c r="A1004">
        <v>1003</v>
      </c>
      <c r="B1004" s="8">
        <v>45604</v>
      </c>
      <c r="C1004" t="s">
        <v>8</v>
      </c>
      <c r="D1004" t="s">
        <v>40</v>
      </c>
      <c r="E1004" t="s">
        <v>41</v>
      </c>
      <c r="F1004" t="s">
        <v>52</v>
      </c>
      <c r="G1004" t="s">
        <v>43</v>
      </c>
      <c r="H1004" t="s">
        <v>43</v>
      </c>
      <c r="I1004" t="s">
        <v>44</v>
      </c>
      <c r="J1004" t="s">
        <v>45</v>
      </c>
      <c r="K1004" s="9">
        <v>31</v>
      </c>
      <c r="L1004" s="10">
        <f>IFERROR(VLOOKUP(C1004,Parâmetros!$A$5:$D$7,IF(D1004="Mensal",2,IF(D1004="Trimestral",3,4)),0),0)</f>
        <v>59</v>
      </c>
      <c r="M1004" s="10">
        <f>IF(G1004="Sim",VLOOKUP("EA Play",Parâmetros!$A$11:$B$13,2,0),0)*K1004</f>
        <v>154.69</v>
      </c>
      <c r="N1004" s="10">
        <f>IF(H1004="Sim",VLOOKUP("Minecraft Pass",Parâmetros!$A$11:$B$13,2,0),0)*K1004</f>
        <v>123.69000000000001</v>
      </c>
      <c r="O1004" s="10">
        <f>IF(I1004="Sim",VLOOKUP("Call of Duty Pass",Parâmetros!$A$11:$B$13,2,0),0)*K1004</f>
        <v>0</v>
      </c>
      <c r="P1004" s="10">
        <f>(L1004*K1004+M1004+N1004+O1004)*IF(F1004="Promoção",1-Parâmetros!$B$22,1)</f>
        <v>2107.38</v>
      </c>
      <c r="Q1004" s="10">
        <f>Parâmetros!$B$20*K1004</f>
        <v>372</v>
      </c>
      <c r="R1004" s="10">
        <f>P1004-Q1004</f>
        <v>1735.38</v>
      </c>
    </row>
    <row r="1005" spans="1:18">
      <c r="A1005">
        <v>1004</v>
      </c>
      <c r="B1005" s="8">
        <v>45730</v>
      </c>
      <c r="C1005" t="s">
        <v>6</v>
      </c>
      <c r="D1005" t="s">
        <v>46</v>
      </c>
      <c r="E1005" t="s">
        <v>41</v>
      </c>
      <c r="F1005" t="s">
        <v>42</v>
      </c>
      <c r="G1005" t="s">
        <v>44</v>
      </c>
      <c r="H1005" t="s">
        <v>44</v>
      </c>
      <c r="I1005" t="s">
        <v>44</v>
      </c>
      <c r="J1005" t="s">
        <v>45</v>
      </c>
      <c r="K1005" s="9">
        <v>1</v>
      </c>
      <c r="L1005" s="10">
        <f>IFERROR(VLOOKUP(C1005,Parâmetros!$A$5:$D$7,IF(D1005="Mensal",2,IF(D1005="Trimestral",3,4)),0),0)</f>
        <v>9.99</v>
      </c>
      <c r="M1005" s="10">
        <f>IF(G1005="Sim",VLOOKUP("EA Play",Parâmetros!$A$11:$B$13,2,0),0)*K1005</f>
        <v>0</v>
      </c>
      <c r="N1005" s="10">
        <f>IF(H1005="Sim",VLOOKUP("Minecraft Pass",Parâmetros!$A$11:$B$13,2,0),0)*K1005</f>
        <v>0</v>
      </c>
      <c r="O1005" s="10">
        <f>IF(I1005="Sim",VLOOKUP("Call of Duty Pass",Parâmetros!$A$11:$B$13,2,0),0)*K1005</f>
        <v>0</v>
      </c>
      <c r="P1005" s="10">
        <f>(L1005*K1005+M1005+N1005+O1005)*IF(F1005="Promoção",1-Parâmetros!$B$22,1)</f>
        <v>9.99</v>
      </c>
      <c r="Q1005" s="10">
        <f>Parâmetros!$B$20*K1005</f>
        <v>12</v>
      </c>
      <c r="R1005" s="10">
        <f>P1005-Q1005</f>
        <v>-2.0099999999999998</v>
      </c>
    </row>
    <row r="1006" spans="1:18">
      <c r="A1006">
        <v>1005</v>
      </c>
      <c r="B1006" s="8">
        <v>45792</v>
      </c>
      <c r="C1006" t="s">
        <v>8</v>
      </c>
      <c r="D1006" t="s">
        <v>46</v>
      </c>
      <c r="E1006" t="s">
        <v>41</v>
      </c>
      <c r="F1006" t="s">
        <v>42</v>
      </c>
      <c r="G1006" t="s">
        <v>44</v>
      </c>
      <c r="H1006" t="s">
        <v>43</v>
      </c>
      <c r="I1006" t="s">
        <v>43</v>
      </c>
      <c r="J1006" t="s">
        <v>49</v>
      </c>
      <c r="K1006" s="9">
        <v>10</v>
      </c>
      <c r="L1006" s="10">
        <f>IFERROR(VLOOKUP(C1006,Parâmetros!$A$5:$D$7,IF(D1006="Mensal",2,IF(D1006="Trimestral",3,4)),0),0)</f>
        <v>21.99</v>
      </c>
      <c r="M1006" s="10">
        <f>IF(G1006="Sim",VLOOKUP("EA Play",Parâmetros!$A$11:$B$13,2,0),0)*K1006</f>
        <v>0</v>
      </c>
      <c r="N1006" s="10">
        <f>IF(H1006="Sim",VLOOKUP("Minecraft Pass",Parâmetros!$A$11:$B$13,2,0),0)*K1006</f>
        <v>39.900000000000006</v>
      </c>
      <c r="O1006" s="10">
        <f>IF(I1006="Sim",VLOOKUP("Call of Duty Pass",Parâmetros!$A$11:$B$13,2,0),0)*K1006</f>
        <v>69.900000000000006</v>
      </c>
      <c r="P1006" s="10">
        <f>(L1006*K1006+M1006+N1006+O1006)*IF(F1006="Promoção",1-Parâmetros!$B$22,1)</f>
        <v>329.69999999999993</v>
      </c>
      <c r="Q1006" s="10">
        <f>Parâmetros!$B$20*K1006</f>
        <v>120</v>
      </c>
      <c r="R1006" s="10">
        <f>P1006-Q1006</f>
        <v>209.69999999999993</v>
      </c>
    </row>
    <row r="1007" spans="1:18">
      <c r="A1007">
        <v>1006</v>
      </c>
      <c r="B1007" s="8">
        <v>45388</v>
      </c>
      <c r="C1007" t="s">
        <v>6</v>
      </c>
      <c r="D1007" t="s">
        <v>50</v>
      </c>
      <c r="E1007" t="s">
        <v>41</v>
      </c>
      <c r="F1007" t="s">
        <v>48</v>
      </c>
      <c r="G1007" t="s">
        <v>43</v>
      </c>
      <c r="H1007" t="s">
        <v>44</v>
      </c>
      <c r="I1007" t="s">
        <v>44</v>
      </c>
      <c r="J1007" t="s">
        <v>49</v>
      </c>
      <c r="K1007" s="9">
        <v>30</v>
      </c>
      <c r="L1007" s="10">
        <f>IFERROR(VLOOKUP(C1007,Parâmetros!$A$5:$D$7,IF(D1007="Mensal",2,IF(D1007="Trimestral",3,4)),0),0)</f>
        <v>99</v>
      </c>
      <c r="M1007" s="10">
        <f>IF(G1007="Sim",VLOOKUP("EA Play",Parâmetros!$A$11:$B$13,2,0),0)*K1007</f>
        <v>149.70000000000002</v>
      </c>
      <c r="N1007" s="10">
        <f>IF(H1007="Sim",VLOOKUP("Minecraft Pass",Parâmetros!$A$11:$B$13,2,0),0)*K1007</f>
        <v>0</v>
      </c>
      <c r="O1007" s="10">
        <f>IF(I1007="Sim",VLOOKUP("Call of Duty Pass",Parâmetros!$A$11:$B$13,2,0),0)*K1007</f>
        <v>0</v>
      </c>
      <c r="P1007" s="10">
        <f>(L1007*K1007+M1007+N1007+O1007)*IF(F1007="Promoção",1-Parâmetros!$B$22,1)</f>
        <v>3119.7</v>
      </c>
      <c r="Q1007" s="10">
        <f>Parâmetros!$B$20*K1007</f>
        <v>360</v>
      </c>
      <c r="R1007" s="10">
        <f>P1007-Q1007</f>
        <v>2759.7</v>
      </c>
    </row>
    <row r="1008" spans="1:18">
      <c r="A1008">
        <v>1007</v>
      </c>
      <c r="B1008" s="8">
        <v>45305</v>
      </c>
      <c r="C1008" t="s">
        <v>8</v>
      </c>
      <c r="D1008" t="s">
        <v>46</v>
      </c>
      <c r="E1008" t="s">
        <v>41</v>
      </c>
      <c r="F1008" t="s">
        <v>48</v>
      </c>
      <c r="G1008" t="s">
        <v>44</v>
      </c>
      <c r="H1008" t="s">
        <v>44</v>
      </c>
      <c r="I1008" t="s">
        <v>44</v>
      </c>
      <c r="J1008" t="s">
        <v>49</v>
      </c>
      <c r="K1008" s="9">
        <v>18</v>
      </c>
      <c r="L1008" s="10">
        <f>IFERROR(VLOOKUP(C1008,Parâmetros!$A$5:$D$7,IF(D1008="Mensal",2,IF(D1008="Trimestral",3,4)),0),0)</f>
        <v>21.99</v>
      </c>
      <c r="M1008" s="10">
        <f>IF(G1008="Sim",VLOOKUP("EA Play",Parâmetros!$A$11:$B$13,2,0),0)*K1008</f>
        <v>0</v>
      </c>
      <c r="N1008" s="10">
        <f>IF(H1008="Sim",VLOOKUP("Minecraft Pass",Parâmetros!$A$11:$B$13,2,0),0)*K1008</f>
        <v>0</v>
      </c>
      <c r="O1008" s="10">
        <f>IF(I1008="Sim",VLOOKUP("Call of Duty Pass",Parâmetros!$A$11:$B$13,2,0),0)*K1008</f>
        <v>0</v>
      </c>
      <c r="P1008" s="10">
        <f>(L1008*K1008+M1008+N1008+O1008)*IF(F1008="Promoção",1-Parâmetros!$B$22,1)</f>
        <v>395.82</v>
      </c>
      <c r="Q1008" s="10">
        <f>Parâmetros!$B$20*K1008</f>
        <v>216</v>
      </c>
      <c r="R1008" s="10">
        <f>P1008-Q1008</f>
        <v>179.82</v>
      </c>
    </row>
    <row r="1009" spans="1:18">
      <c r="A1009">
        <v>1008</v>
      </c>
      <c r="B1009" s="8">
        <v>45994</v>
      </c>
      <c r="C1009" t="s">
        <v>7</v>
      </c>
      <c r="D1009" t="s">
        <v>40</v>
      </c>
      <c r="E1009" t="s">
        <v>41</v>
      </c>
      <c r="F1009" t="s">
        <v>48</v>
      </c>
      <c r="G1009" t="s">
        <v>43</v>
      </c>
      <c r="H1009" t="s">
        <v>44</v>
      </c>
      <c r="I1009" t="s">
        <v>44</v>
      </c>
      <c r="J1009" t="s">
        <v>49</v>
      </c>
      <c r="K1009" s="9">
        <v>28</v>
      </c>
      <c r="L1009" s="10">
        <f>IFERROR(VLOOKUP(C1009,Parâmetros!$A$5:$D$7,IF(D1009="Mensal",2,IF(D1009="Trimestral",3,4)),0),0)</f>
        <v>40</v>
      </c>
      <c r="M1009" s="10">
        <f>IF(G1009="Sim",VLOOKUP("EA Play",Parâmetros!$A$11:$B$13,2,0),0)*K1009</f>
        <v>139.72</v>
      </c>
      <c r="N1009" s="10">
        <f>IF(H1009="Sim",VLOOKUP("Minecraft Pass",Parâmetros!$A$11:$B$13,2,0),0)*K1009</f>
        <v>0</v>
      </c>
      <c r="O1009" s="10">
        <f>IF(I1009="Sim",VLOOKUP("Call of Duty Pass",Parâmetros!$A$11:$B$13,2,0),0)*K1009</f>
        <v>0</v>
      </c>
      <c r="P1009" s="10">
        <f>(L1009*K1009+M1009+N1009+O1009)*IF(F1009="Promoção",1-Parâmetros!$B$22,1)</f>
        <v>1259.72</v>
      </c>
      <c r="Q1009" s="10">
        <f>Parâmetros!$B$20*K1009</f>
        <v>336</v>
      </c>
      <c r="R1009" s="10">
        <f>P1009-Q1009</f>
        <v>923.72</v>
      </c>
    </row>
    <row r="1010" spans="1:18">
      <c r="A1010">
        <v>1009</v>
      </c>
      <c r="B1010" s="8">
        <v>45660</v>
      </c>
      <c r="C1010" t="s">
        <v>6</v>
      </c>
      <c r="D1010" t="s">
        <v>46</v>
      </c>
      <c r="E1010" t="s">
        <v>55</v>
      </c>
      <c r="F1010" t="s">
        <v>42</v>
      </c>
      <c r="G1010" t="s">
        <v>43</v>
      </c>
      <c r="H1010" t="s">
        <v>43</v>
      </c>
      <c r="I1010" t="s">
        <v>44</v>
      </c>
      <c r="J1010" t="s">
        <v>49</v>
      </c>
      <c r="K1010" s="9">
        <v>29</v>
      </c>
      <c r="L1010" s="10">
        <f>IFERROR(VLOOKUP(C1010,Parâmetros!$A$5:$D$7,IF(D1010="Mensal",2,IF(D1010="Trimestral",3,4)),0),0)</f>
        <v>9.99</v>
      </c>
      <c r="M1010" s="10">
        <f>IF(G1010="Sim",VLOOKUP("EA Play",Parâmetros!$A$11:$B$13,2,0),0)*K1010</f>
        <v>144.71</v>
      </c>
      <c r="N1010" s="10">
        <f>IF(H1010="Sim",VLOOKUP("Minecraft Pass",Parâmetros!$A$11:$B$13,2,0),0)*K1010</f>
        <v>115.71000000000001</v>
      </c>
      <c r="O1010" s="10">
        <f>IF(I1010="Sim",VLOOKUP("Call of Duty Pass",Parâmetros!$A$11:$B$13,2,0),0)*K1010</f>
        <v>0</v>
      </c>
      <c r="P1010" s="10">
        <f>(L1010*K1010+M1010+N1010+O1010)*IF(F1010="Promoção",1-Parâmetros!$B$22,1)</f>
        <v>550.13</v>
      </c>
      <c r="Q1010" s="10">
        <f>Parâmetros!$B$20*K1010</f>
        <v>348</v>
      </c>
      <c r="R1010" s="10">
        <f>P1010-Q1010</f>
        <v>202.13</v>
      </c>
    </row>
    <row r="1011" spans="1:18">
      <c r="A1011">
        <v>1010</v>
      </c>
      <c r="B1011" s="8">
        <v>45831</v>
      </c>
      <c r="C1011" t="s">
        <v>6</v>
      </c>
      <c r="D1011" t="s">
        <v>50</v>
      </c>
      <c r="E1011" t="s">
        <v>41</v>
      </c>
      <c r="F1011" t="s">
        <v>42</v>
      </c>
      <c r="G1011" t="s">
        <v>44</v>
      </c>
      <c r="H1011" t="s">
        <v>44</v>
      </c>
      <c r="I1011" t="s">
        <v>43</v>
      </c>
      <c r="J1011" t="s">
        <v>49</v>
      </c>
      <c r="K1011" s="9">
        <v>34</v>
      </c>
      <c r="L1011" s="10">
        <f>IFERROR(VLOOKUP(C1011,Parâmetros!$A$5:$D$7,IF(D1011="Mensal",2,IF(D1011="Trimestral",3,4)),0),0)</f>
        <v>99</v>
      </c>
      <c r="M1011" s="10">
        <f>IF(G1011="Sim",VLOOKUP("EA Play",Parâmetros!$A$11:$B$13,2,0),0)*K1011</f>
        <v>0</v>
      </c>
      <c r="N1011" s="10">
        <f>IF(H1011="Sim",VLOOKUP("Minecraft Pass",Parâmetros!$A$11:$B$13,2,0),0)*K1011</f>
        <v>0</v>
      </c>
      <c r="O1011" s="10">
        <f>IF(I1011="Sim",VLOOKUP("Call of Duty Pass",Parâmetros!$A$11:$B$13,2,0),0)*K1011</f>
        <v>237.66</v>
      </c>
      <c r="P1011" s="10">
        <f>(L1011*K1011+M1011+N1011+O1011)*IF(F1011="Promoção",1-Parâmetros!$B$22,1)</f>
        <v>3603.66</v>
      </c>
      <c r="Q1011" s="10">
        <f>Parâmetros!$B$20*K1011</f>
        <v>408</v>
      </c>
      <c r="R1011" s="10">
        <f>P1011-Q1011</f>
        <v>3195.66</v>
      </c>
    </row>
    <row r="1012" spans="1:18">
      <c r="A1012">
        <v>1011</v>
      </c>
      <c r="B1012" s="8">
        <v>46010</v>
      </c>
      <c r="C1012" t="s">
        <v>6</v>
      </c>
      <c r="D1012" t="s">
        <v>40</v>
      </c>
      <c r="E1012" t="s">
        <v>47</v>
      </c>
      <c r="F1012" t="s">
        <v>48</v>
      </c>
      <c r="G1012" t="s">
        <v>44</v>
      </c>
      <c r="H1012" t="s">
        <v>44</v>
      </c>
      <c r="I1012" t="s">
        <v>43</v>
      </c>
      <c r="J1012" t="s">
        <v>45</v>
      </c>
      <c r="K1012" s="9">
        <v>32</v>
      </c>
      <c r="L1012" s="10">
        <f>IFERROR(VLOOKUP(C1012,Parâmetros!$A$5:$D$7,IF(D1012="Mensal",2,IF(D1012="Trimestral",3,4)),0),0)</f>
        <v>27</v>
      </c>
      <c r="M1012" s="10">
        <f>IF(G1012="Sim",VLOOKUP("EA Play",Parâmetros!$A$11:$B$13,2,0),0)*K1012</f>
        <v>0</v>
      </c>
      <c r="N1012" s="10">
        <f>IF(H1012="Sim",VLOOKUP("Minecraft Pass",Parâmetros!$A$11:$B$13,2,0),0)*K1012</f>
        <v>0</v>
      </c>
      <c r="O1012" s="10">
        <f>IF(I1012="Sim",VLOOKUP("Call of Duty Pass",Parâmetros!$A$11:$B$13,2,0),0)*K1012</f>
        <v>223.68</v>
      </c>
      <c r="P1012" s="10">
        <f>(L1012*K1012+M1012+N1012+O1012)*IF(F1012="Promoção",1-Parâmetros!$B$22,1)</f>
        <v>1087.68</v>
      </c>
      <c r="Q1012" s="10">
        <f>Parâmetros!$B$20*K1012</f>
        <v>384</v>
      </c>
      <c r="R1012" s="10">
        <f>P1012-Q1012</f>
        <v>703.68000000000006</v>
      </c>
    </row>
    <row r="1013" spans="1:18">
      <c r="A1013">
        <v>1012</v>
      </c>
      <c r="B1013" s="8">
        <v>45993</v>
      </c>
      <c r="C1013" t="s">
        <v>6</v>
      </c>
      <c r="D1013" t="s">
        <v>40</v>
      </c>
      <c r="E1013" t="s">
        <v>47</v>
      </c>
      <c r="F1013" t="s">
        <v>42</v>
      </c>
      <c r="G1013" t="s">
        <v>44</v>
      </c>
      <c r="H1013" t="s">
        <v>43</v>
      </c>
      <c r="I1013" t="s">
        <v>44</v>
      </c>
      <c r="J1013" t="s">
        <v>49</v>
      </c>
      <c r="K1013" s="9">
        <v>19</v>
      </c>
      <c r="L1013" s="10">
        <f>IFERROR(VLOOKUP(C1013,Parâmetros!$A$5:$D$7,IF(D1013="Mensal",2,IF(D1013="Trimestral",3,4)),0),0)</f>
        <v>27</v>
      </c>
      <c r="M1013" s="10">
        <f>IF(G1013="Sim",VLOOKUP("EA Play",Parâmetros!$A$11:$B$13,2,0),0)*K1013</f>
        <v>0</v>
      </c>
      <c r="N1013" s="10">
        <f>IF(H1013="Sim",VLOOKUP("Minecraft Pass",Parâmetros!$A$11:$B$13,2,0),0)*K1013</f>
        <v>75.81</v>
      </c>
      <c r="O1013" s="10">
        <f>IF(I1013="Sim",VLOOKUP("Call of Duty Pass",Parâmetros!$A$11:$B$13,2,0),0)*K1013</f>
        <v>0</v>
      </c>
      <c r="P1013" s="10">
        <f>(L1013*K1013+M1013+N1013+O1013)*IF(F1013="Promoção",1-Parâmetros!$B$22,1)</f>
        <v>588.80999999999995</v>
      </c>
      <c r="Q1013" s="10">
        <f>Parâmetros!$B$20*K1013</f>
        <v>228</v>
      </c>
      <c r="R1013" s="10">
        <f>P1013-Q1013</f>
        <v>360.80999999999995</v>
      </c>
    </row>
    <row r="1014" spans="1:18">
      <c r="A1014">
        <v>1013</v>
      </c>
      <c r="B1014" s="8">
        <v>45307</v>
      </c>
      <c r="C1014" t="s">
        <v>7</v>
      </c>
      <c r="D1014" t="s">
        <v>46</v>
      </c>
      <c r="E1014" t="s">
        <v>51</v>
      </c>
      <c r="F1014" t="s">
        <v>42</v>
      </c>
      <c r="G1014" t="s">
        <v>44</v>
      </c>
      <c r="H1014" t="s">
        <v>43</v>
      </c>
      <c r="I1014" t="s">
        <v>44</v>
      </c>
      <c r="J1014" t="s">
        <v>45</v>
      </c>
      <c r="K1014" s="9">
        <v>4</v>
      </c>
      <c r="L1014" s="10">
        <f>IFERROR(VLOOKUP(C1014,Parâmetros!$A$5:$D$7,IF(D1014="Mensal",2,IF(D1014="Trimestral",3,4)),0),0)</f>
        <v>14.99</v>
      </c>
      <c r="M1014" s="10">
        <f>IF(G1014="Sim",VLOOKUP("EA Play",Parâmetros!$A$11:$B$13,2,0),0)*K1014</f>
        <v>0</v>
      </c>
      <c r="N1014" s="10">
        <f>IF(H1014="Sim",VLOOKUP("Minecraft Pass",Parâmetros!$A$11:$B$13,2,0),0)*K1014</f>
        <v>15.96</v>
      </c>
      <c r="O1014" s="10">
        <f>IF(I1014="Sim",VLOOKUP("Call of Duty Pass",Parâmetros!$A$11:$B$13,2,0),0)*K1014</f>
        <v>0</v>
      </c>
      <c r="P1014" s="10">
        <f>(L1014*K1014+M1014+N1014+O1014)*IF(F1014="Promoção",1-Parâmetros!$B$22,1)</f>
        <v>75.92</v>
      </c>
      <c r="Q1014" s="10">
        <f>Parâmetros!$B$20*K1014</f>
        <v>48</v>
      </c>
      <c r="R1014" s="10">
        <f>P1014-Q1014</f>
        <v>27.92</v>
      </c>
    </row>
    <row r="1015" spans="1:18">
      <c r="A1015">
        <v>1014</v>
      </c>
      <c r="B1015" s="8">
        <v>45549</v>
      </c>
      <c r="C1015" t="s">
        <v>6</v>
      </c>
      <c r="D1015" t="s">
        <v>50</v>
      </c>
      <c r="E1015" t="s">
        <v>51</v>
      </c>
      <c r="F1015" t="s">
        <v>48</v>
      </c>
      <c r="G1015" t="s">
        <v>44</v>
      </c>
      <c r="H1015" t="s">
        <v>44</v>
      </c>
      <c r="I1015" t="s">
        <v>44</v>
      </c>
      <c r="J1015" t="s">
        <v>45</v>
      </c>
      <c r="K1015" s="9">
        <v>10</v>
      </c>
      <c r="L1015" s="10">
        <f>IFERROR(VLOOKUP(C1015,Parâmetros!$A$5:$D$7,IF(D1015="Mensal",2,IF(D1015="Trimestral",3,4)),0),0)</f>
        <v>99</v>
      </c>
      <c r="M1015" s="10">
        <f>IF(G1015="Sim",VLOOKUP("EA Play",Parâmetros!$A$11:$B$13,2,0),0)*K1015</f>
        <v>0</v>
      </c>
      <c r="N1015" s="10">
        <f>IF(H1015="Sim",VLOOKUP("Minecraft Pass",Parâmetros!$A$11:$B$13,2,0),0)*K1015</f>
        <v>0</v>
      </c>
      <c r="O1015" s="10">
        <f>IF(I1015="Sim",VLOOKUP("Call of Duty Pass",Parâmetros!$A$11:$B$13,2,0),0)*K1015</f>
        <v>0</v>
      </c>
      <c r="P1015" s="10">
        <f>(L1015*K1015+M1015+N1015+O1015)*IF(F1015="Promoção",1-Parâmetros!$B$22,1)</f>
        <v>990</v>
      </c>
      <c r="Q1015" s="10">
        <f>Parâmetros!$B$20*K1015</f>
        <v>120</v>
      </c>
      <c r="R1015" s="10">
        <f>P1015-Q1015</f>
        <v>870</v>
      </c>
    </row>
    <row r="1016" spans="1:18">
      <c r="A1016">
        <v>1015</v>
      </c>
      <c r="B1016" s="8">
        <v>45493</v>
      </c>
      <c r="C1016" t="s">
        <v>7</v>
      </c>
      <c r="D1016" t="s">
        <v>50</v>
      </c>
      <c r="E1016" t="s">
        <v>41</v>
      </c>
      <c r="F1016" t="s">
        <v>42</v>
      </c>
      <c r="G1016" t="s">
        <v>44</v>
      </c>
      <c r="H1016" t="s">
        <v>43</v>
      </c>
      <c r="I1016" t="s">
        <v>44</v>
      </c>
      <c r="J1016" t="s">
        <v>49</v>
      </c>
      <c r="K1016" s="9">
        <v>26</v>
      </c>
      <c r="L1016" s="10">
        <f>IFERROR(VLOOKUP(C1016,Parâmetros!$A$5:$D$7,IF(D1016="Mensal",2,IF(D1016="Trimestral",3,4)),0),0)</f>
        <v>149</v>
      </c>
      <c r="M1016" s="10">
        <f>IF(G1016="Sim",VLOOKUP("EA Play",Parâmetros!$A$11:$B$13,2,0),0)*K1016</f>
        <v>0</v>
      </c>
      <c r="N1016" s="10">
        <f>IF(H1016="Sim",VLOOKUP("Minecraft Pass",Parâmetros!$A$11:$B$13,2,0),0)*K1016</f>
        <v>103.74000000000001</v>
      </c>
      <c r="O1016" s="10">
        <f>IF(I1016="Sim",VLOOKUP("Call of Duty Pass",Parâmetros!$A$11:$B$13,2,0),0)*K1016</f>
        <v>0</v>
      </c>
      <c r="P1016" s="10">
        <f>(L1016*K1016+M1016+N1016+O1016)*IF(F1016="Promoção",1-Parâmetros!$B$22,1)</f>
        <v>3977.74</v>
      </c>
      <c r="Q1016" s="10">
        <f>Parâmetros!$B$20*K1016</f>
        <v>312</v>
      </c>
      <c r="R1016" s="10">
        <f>P1016-Q1016</f>
        <v>3665.74</v>
      </c>
    </row>
    <row r="1017" spans="1:18">
      <c r="A1017">
        <v>1016</v>
      </c>
      <c r="B1017" s="8">
        <v>45392</v>
      </c>
      <c r="C1017" t="s">
        <v>8</v>
      </c>
      <c r="D1017" t="s">
        <v>50</v>
      </c>
      <c r="E1017" t="s">
        <v>47</v>
      </c>
      <c r="F1017" t="s">
        <v>42</v>
      </c>
      <c r="G1017" t="s">
        <v>43</v>
      </c>
      <c r="H1017" t="s">
        <v>44</v>
      </c>
      <c r="I1017" t="s">
        <v>44</v>
      </c>
      <c r="J1017" t="s">
        <v>49</v>
      </c>
      <c r="K1017" s="9">
        <v>13</v>
      </c>
      <c r="L1017" s="10">
        <f>IFERROR(VLOOKUP(C1017,Parâmetros!$A$5:$D$7,IF(D1017="Mensal",2,IF(D1017="Trimestral",3,4)),0),0)</f>
        <v>219</v>
      </c>
      <c r="M1017" s="10">
        <f>IF(G1017="Sim",VLOOKUP("EA Play",Parâmetros!$A$11:$B$13,2,0),0)*K1017</f>
        <v>64.87</v>
      </c>
      <c r="N1017" s="10">
        <f>IF(H1017="Sim",VLOOKUP("Minecraft Pass",Parâmetros!$A$11:$B$13,2,0),0)*K1017</f>
        <v>0</v>
      </c>
      <c r="O1017" s="10">
        <f>IF(I1017="Sim",VLOOKUP("Call of Duty Pass",Parâmetros!$A$11:$B$13,2,0),0)*K1017</f>
        <v>0</v>
      </c>
      <c r="P1017" s="10">
        <f>(L1017*K1017+M1017+N1017+O1017)*IF(F1017="Promoção",1-Parâmetros!$B$22,1)</f>
        <v>2911.87</v>
      </c>
      <c r="Q1017" s="10">
        <f>Parâmetros!$B$20*K1017</f>
        <v>156</v>
      </c>
      <c r="R1017" s="10">
        <f>P1017-Q1017</f>
        <v>2755.87</v>
      </c>
    </row>
    <row r="1018" spans="1:18">
      <c r="A1018">
        <v>1017</v>
      </c>
      <c r="B1018" s="8">
        <v>45548</v>
      </c>
      <c r="C1018" t="s">
        <v>6</v>
      </c>
      <c r="D1018" t="s">
        <v>40</v>
      </c>
      <c r="E1018" t="s">
        <v>41</v>
      </c>
      <c r="F1018" t="s">
        <v>42</v>
      </c>
      <c r="G1018" t="s">
        <v>44</v>
      </c>
      <c r="H1018" t="s">
        <v>44</v>
      </c>
      <c r="I1018" t="s">
        <v>44</v>
      </c>
      <c r="J1018" t="s">
        <v>49</v>
      </c>
      <c r="K1018" s="9">
        <v>28</v>
      </c>
      <c r="L1018" s="10">
        <f>IFERROR(VLOOKUP(C1018,Parâmetros!$A$5:$D$7,IF(D1018="Mensal",2,IF(D1018="Trimestral",3,4)),0),0)</f>
        <v>27</v>
      </c>
      <c r="M1018" s="10">
        <f>IF(G1018="Sim",VLOOKUP("EA Play",Parâmetros!$A$11:$B$13,2,0),0)*K1018</f>
        <v>0</v>
      </c>
      <c r="N1018" s="10">
        <f>IF(H1018="Sim",VLOOKUP("Minecraft Pass",Parâmetros!$A$11:$B$13,2,0),0)*K1018</f>
        <v>0</v>
      </c>
      <c r="O1018" s="10">
        <f>IF(I1018="Sim",VLOOKUP("Call of Duty Pass",Parâmetros!$A$11:$B$13,2,0),0)*K1018</f>
        <v>0</v>
      </c>
      <c r="P1018" s="10">
        <f>(L1018*K1018+M1018+N1018+O1018)*IF(F1018="Promoção",1-Parâmetros!$B$22,1)</f>
        <v>756</v>
      </c>
      <c r="Q1018" s="10">
        <f>Parâmetros!$B$20*K1018</f>
        <v>336</v>
      </c>
      <c r="R1018" s="10">
        <f>P1018-Q1018</f>
        <v>420</v>
      </c>
    </row>
    <row r="1019" spans="1:18">
      <c r="A1019">
        <v>1018</v>
      </c>
      <c r="B1019" s="8">
        <v>45390</v>
      </c>
      <c r="C1019" t="s">
        <v>6</v>
      </c>
      <c r="D1019" t="s">
        <v>46</v>
      </c>
      <c r="E1019" t="s">
        <v>41</v>
      </c>
      <c r="F1019" t="s">
        <v>54</v>
      </c>
      <c r="G1019" t="s">
        <v>44</v>
      </c>
      <c r="H1019" t="s">
        <v>44</v>
      </c>
      <c r="I1019" t="s">
        <v>44</v>
      </c>
      <c r="J1019" t="s">
        <v>49</v>
      </c>
      <c r="K1019" s="9">
        <v>27</v>
      </c>
      <c r="L1019" s="10">
        <f>IFERROR(VLOOKUP(C1019,Parâmetros!$A$5:$D$7,IF(D1019="Mensal",2,IF(D1019="Trimestral",3,4)),0),0)</f>
        <v>9.99</v>
      </c>
      <c r="M1019" s="10">
        <f>IF(G1019="Sim",VLOOKUP("EA Play",Parâmetros!$A$11:$B$13,2,0),0)*K1019</f>
        <v>0</v>
      </c>
      <c r="N1019" s="10">
        <f>IF(H1019="Sim",VLOOKUP("Minecraft Pass",Parâmetros!$A$11:$B$13,2,0),0)*K1019</f>
        <v>0</v>
      </c>
      <c r="O1019" s="10">
        <f>IF(I1019="Sim",VLOOKUP("Call of Duty Pass",Parâmetros!$A$11:$B$13,2,0),0)*K1019</f>
        <v>0</v>
      </c>
      <c r="P1019" s="10">
        <f>(L1019*K1019+M1019+N1019+O1019)*IF(F1019="Promoção",1-Parâmetros!$B$22,1)</f>
        <v>242.75700000000003</v>
      </c>
      <c r="Q1019" s="10">
        <f>Parâmetros!$B$20*K1019</f>
        <v>324</v>
      </c>
      <c r="R1019" s="10">
        <f>P1019-Q1019</f>
        <v>-81.242999999999967</v>
      </c>
    </row>
    <row r="1020" spans="1:18">
      <c r="A1020">
        <v>1019</v>
      </c>
      <c r="B1020" s="8">
        <v>45764</v>
      </c>
      <c r="C1020" t="s">
        <v>6</v>
      </c>
      <c r="D1020" t="s">
        <v>40</v>
      </c>
      <c r="E1020" t="s">
        <v>53</v>
      </c>
      <c r="F1020" t="s">
        <v>48</v>
      </c>
      <c r="G1020" t="s">
        <v>44</v>
      </c>
      <c r="H1020" t="s">
        <v>44</v>
      </c>
      <c r="I1020" t="s">
        <v>44</v>
      </c>
      <c r="J1020" t="s">
        <v>49</v>
      </c>
      <c r="K1020" s="9">
        <v>33</v>
      </c>
      <c r="L1020" s="10">
        <f>IFERROR(VLOOKUP(C1020,Parâmetros!$A$5:$D$7,IF(D1020="Mensal",2,IF(D1020="Trimestral",3,4)),0),0)</f>
        <v>27</v>
      </c>
      <c r="M1020" s="10">
        <f>IF(G1020="Sim",VLOOKUP("EA Play",Parâmetros!$A$11:$B$13,2,0),0)*K1020</f>
        <v>0</v>
      </c>
      <c r="N1020" s="10">
        <f>IF(H1020="Sim",VLOOKUP("Minecraft Pass",Parâmetros!$A$11:$B$13,2,0),0)*K1020</f>
        <v>0</v>
      </c>
      <c r="O1020" s="10">
        <f>IF(I1020="Sim",VLOOKUP("Call of Duty Pass",Parâmetros!$A$11:$B$13,2,0),0)*K1020</f>
        <v>0</v>
      </c>
      <c r="P1020" s="10">
        <f>(L1020*K1020+M1020+N1020+O1020)*IF(F1020="Promoção",1-Parâmetros!$B$22,1)</f>
        <v>891</v>
      </c>
      <c r="Q1020" s="10">
        <f>Parâmetros!$B$20*K1020</f>
        <v>396</v>
      </c>
      <c r="R1020" s="10">
        <f>P1020-Q1020</f>
        <v>495</v>
      </c>
    </row>
    <row r="1021" spans="1:18">
      <c r="A1021">
        <v>1020</v>
      </c>
      <c r="B1021" s="8">
        <v>45674</v>
      </c>
      <c r="C1021" t="s">
        <v>6</v>
      </c>
      <c r="D1021" t="s">
        <v>40</v>
      </c>
      <c r="E1021" t="s">
        <v>47</v>
      </c>
      <c r="F1021" t="s">
        <v>42</v>
      </c>
      <c r="G1021" t="s">
        <v>44</v>
      </c>
      <c r="H1021" t="s">
        <v>43</v>
      </c>
      <c r="I1021" t="s">
        <v>44</v>
      </c>
      <c r="J1021" t="s">
        <v>49</v>
      </c>
      <c r="K1021" s="9">
        <v>34</v>
      </c>
      <c r="L1021" s="10">
        <f>IFERROR(VLOOKUP(C1021,Parâmetros!$A$5:$D$7,IF(D1021="Mensal",2,IF(D1021="Trimestral",3,4)),0),0)</f>
        <v>27</v>
      </c>
      <c r="M1021" s="10">
        <f>IF(G1021="Sim",VLOOKUP("EA Play",Parâmetros!$A$11:$B$13,2,0),0)*K1021</f>
        <v>0</v>
      </c>
      <c r="N1021" s="10">
        <f>IF(H1021="Sim",VLOOKUP("Minecraft Pass",Parâmetros!$A$11:$B$13,2,0),0)*K1021</f>
        <v>135.66</v>
      </c>
      <c r="O1021" s="10">
        <f>IF(I1021="Sim",VLOOKUP("Call of Duty Pass",Parâmetros!$A$11:$B$13,2,0),0)*K1021</f>
        <v>0</v>
      </c>
      <c r="P1021" s="10">
        <f>(L1021*K1021+M1021+N1021+O1021)*IF(F1021="Promoção",1-Parâmetros!$B$22,1)</f>
        <v>1053.6600000000001</v>
      </c>
      <c r="Q1021" s="10">
        <f>Parâmetros!$B$20*K1021</f>
        <v>408</v>
      </c>
      <c r="R1021" s="10">
        <f>P1021-Q1021</f>
        <v>645.66000000000008</v>
      </c>
    </row>
    <row r="1022" spans="1:18">
      <c r="A1022">
        <v>1021</v>
      </c>
      <c r="B1022" s="8">
        <v>45763</v>
      </c>
      <c r="C1022" t="s">
        <v>8</v>
      </c>
      <c r="D1022" t="s">
        <v>46</v>
      </c>
      <c r="E1022" t="s">
        <v>41</v>
      </c>
      <c r="F1022" t="s">
        <v>54</v>
      </c>
      <c r="G1022" t="s">
        <v>43</v>
      </c>
      <c r="H1022" t="s">
        <v>44</v>
      </c>
      <c r="I1022" t="s">
        <v>44</v>
      </c>
      <c r="J1022" t="s">
        <v>45</v>
      </c>
      <c r="K1022" s="9">
        <v>22</v>
      </c>
      <c r="L1022" s="10">
        <f>IFERROR(VLOOKUP(C1022,Parâmetros!$A$5:$D$7,IF(D1022="Mensal",2,IF(D1022="Trimestral",3,4)),0),0)</f>
        <v>21.99</v>
      </c>
      <c r="M1022" s="10">
        <f>IF(G1022="Sim",VLOOKUP("EA Play",Parâmetros!$A$11:$B$13,2,0),0)*K1022</f>
        <v>109.78</v>
      </c>
      <c r="N1022" s="10">
        <f>IF(H1022="Sim",VLOOKUP("Minecraft Pass",Parâmetros!$A$11:$B$13,2,0),0)*K1022</f>
        <v>0</v>
      </c>
      <c r="O1022" s="10">
        <f>IF(I1022="Sim",VLOOKUP("Call of Duty Pass",Parâmetros!$A$11:$B$13,2,0),0)*K1022</f>
        <v>0</v>
      </c>
      <c r="P1022" s="10">
        <f>(L1022*K1022+M1022+N1022+O1022)*IF(F1022="Promoção",1-Parâmetros!$B$22,1)</f>
        <v>534.20399999999995</v>
      </c>
      <c r="Q1022" s="10">
        <f>Parâmetros!$B$20*K1022</f>
        <v>264</v>
      </c>
      <c r="R1022" s="10">
        <f>P1022-Q1022</f>
        <v>270.20399999999995</v>
      </c>
    </row>
    <row r="1023" spans="1:18">
      <c r="A1023">
        <v>1022</v>
      </c>
      <c r="B1023" s="8">
        <v>45354</v>
      </c>
      <c r="C1023" t="s">
        <v>6</v>
      </c>
      <c r="D1023" t="s">
        <v>40</v>
      </c>
      <c r="E1023" t="s">
        <v>47</v>
      </c>
      <c r="F1023" t="s">
        <v>52</v>
      </c>
      <c r="G1023" t="s">
        <v>44</v>
      </c>
      <c r="H1023" t="s">
        <v>44</v>
      </c>
      <c r="I1023" t="s">
        <v>44</v>
      </c>
      <c r="J1023" t="s">
        <v>45</v>
      </c>
      <c r="K1023" s="9">
        <v>9</v>
      </c>
      <c r="L1023" s="10">
        <f>IFERROR(VLOOKUP(C1023,Parâmetros!$A$5:$D$7,IF(D1023="Mensal",2,IF(D1023="Trimestral",3,4)),0),0)</f>
        <v>27</v>
      </c>
      <c r="M1023" s="10">
        <f>IF(G1023="Sim",VLOOKUP("EA Play",Parâmetros!$A$11:$B$13,2,0),0)*K1023</f>
        <v>0</v>
      </c>
      <c r="N1023" s="10">
        <f>IF(H1023="Sim",VLOOKUP("Minecraft Pass",Parâmetros!$A$11:$B$13,2,0),0)*K1023</f>
        <v>0</v>
      </c>
      <c r="O1023" s="10">
        <f>IF(I1023="Sim",VLOOKUP("Call of Duty Pass",Parâmetros!$A$11:$B$13,2,0),0)*K1023</f>
        <v>0</v>
      </c>
      <c r="P1023" s="10">
        <f>(L1023*K1023+M1023+N1023+O1023)*IF(F1023="Promoção",1-Parâmetros!$B$22,1)</f>
        <v>243</v>
      </c>
      <c r="Q1023" s="10">
        <f>Parâmetros!$B$20*K1023</f>
        <v>108</v>
      </c>
      <c r="R1023" s="10">
        <f>P1023-Q1023</f>
        <v>135</v>
      </c>
    </row>
    <row r="1024" spans="1:18">
      <c r="A1024">
        <v>1023</v>
      </c>
      <c r="B1024" s="8">
        <v>45520</v>
      </c>
      <c r="C1024" t="s">
        <v>8</v>
      </c>
      <c r="D1024" t="s">
        <v>40</v>
      </c>
      <c r="E1024" t="s">
        <v>41</v>
      </c>
      <c r="F1024" t="s">
        <v>52</v>
      </c>
      <c r="G1024" t="s">
        <v>44</v>
      </c>
      <c r="H1024" t="s">
        <v>44</v>
      </c>
      <c r="I1024" t="s">
        <v>44</v>
      </c>
      <c r="J1024" t="s">
        <v>45</v>
      </c>
      <c r="K1024" s="9">
        <v>13</v>
      </c>
      <c r="L1024" s="10">
        <f>IFERROR(VLOOKUP(C1024,Parâmetros!$A$5:$D$7,IF(D1024="Mensal",2,IF(D1024="Trimestral",3,4)),0),0)</f>
        <v>59</v>
      </c>
      <c r="M1024" s="10">
        <f>IF(G1024="Sim",VLOOKUP("EA Play",Parâmetros!$A$11:$B$13,2,0),0)*K1024</f>
        <v>0</v>
      </c>
      <c r="N1024" s="10">
        <f>IF(H1024="Sim",VLOOKUP("Minecraft Pass",Parâmetros!$A$11:$B$13,2,0),0)*K1024</f>
        <v>0</v>
      </c>
      <c r="O1024" s="10">
        <f>IF(I1024="Sim",VLOOKUP("Call of Duty Pass",Parâmetros!$A$11:$B$13,2,0),0)*K1024</f>
        <v>0</v>
      </c>
      <c r="P1024" s="10">
        <f>(L1024*K1024+M1024+N1024+O1024)*IF(F1024="Promoção",1-Parâmetros!$B$22,1)</f>
        <v>767</v>
      </c>
      <c r="Q1024" s="10">
        <f>Parâmetros!$B$20*K1024</f>
        <v>156</v>
      </c>
      <c r="R1024" s="10">
        <f>P1024-Q1024</f>
        <v>611</v>
      </c>
    </row>
    <row r="1025" spans="1:18">
      <c r="A1025">
        <v>1024</v>
      </c>
      <c r="B1025" s="8">
        <v>45409</v>
      </c>
      <c r="C1025" t="s">
        <v>6</v>
      </c>
      <c r="D1025" t="s">
        <v>46</v>
      </c>
      <c r="E1025" t="s">
        <v>55</v>
      </c>
      <c r="F1025" t="s">
        <v>48</v>
      </c>
      <c r="G1025" t="s">
        <v>43</v>
      </c>
      <c r="H1025" t="s">
        <v>43</v>
      </c>
      <c r="I1025" t="s">
        <v>43</v>
      </c>
      <c r="J1025" t="s">
        <v>49</v>
      </c>
      <c r="K1025" s="9">
        <v>26</v>
      </c>
      <c r="L1025" s="10">
        <f>IFERROR(VLOOKUP(C1025,Parâmetros!$A$5:$D$7,IF(D1025="Mensal",2,IF(D1025="Trimestral",3,4)),0),0)</f>
        <v>9.99</v>
      </c>
      <c r="M1025" s="10">
        <f>IF(G1025="Sim",VLOOKUP("EA Play",Parâmetros!$A$11:$B$13,2,0),0)*K1025</f>
        <v>129.74</v>
      </c>
      <c r="N1025" s="10">
        <f>IF(H1025="Sim",VLOOKUP("Minecraft Pass",Parâmetros!$A$11:$B$13,2,0),0)*K1025</f>
        <v>103.74000000000001</v>
      </c>
      <c r="O1025" s="10">
        <f>IF(I1025="Sim",VLOOKUP("Call of Duty Pass",Parâmetros!$A$11:$B$13,2,0),0)*K1025</f>
        <v>181.74</v>
      </c>
      <c r="P1025" s="10">
        <f>(L1025*K1025+M1025+N1025+O1025)*IF(F1025="Promoção",1-Parâmetros!$B$22,1)</f>
        <v>674.96</v>
      </c>
      <c r="Q1025" s="10">
        <f>Parâmetros!$B$20*K1025</f>
        <v>312</v>
      </c>
      <c r="R1025" s="10">
        <f>P1025-Q1025</f>
        <v>362.96000000000004</v>
      </c>
    </row>
    <row r="1026" spans="1:18">
      <c r="A1026">
        <v>1025</v>
      </c>
      <c r="B1026" s="8">
        <v>45348</v>
      </c>
      <c r="C1026" t="s">
        <v>8</v>
      </c>
      <c r="D1026" t="s">
        <v>46</v>
      </c>
      <c r="E1026" t="s">
        <v>47</v>
      </c>
      <c r="F1026" t="s">
        <v>42</v>
      </c>
      <c r="G1026" t="s">
        <v>43</v>
      </c>
      <c r="H1026" t="s">
        <v>44</v>
      </c>
      <c r="I1026" t="s">
        <v>43</v>
      </c>
      <c r="J1026" t="s">
        <v>45</v>
      </c>
      <c r="K1026" s="9">
        <v>29</v>
      </c>
      <c r="L1026" s="10">
        <f>IFERROR(VLOOKUP(C1026,Parâmetros!$A$5:$D$7,IF(D1026="Mensal",2,IF(D1026="Trimestral",3,4)),0),0)</f>
        <v>21.99</v>
      </c>
      <c r="M1026" s="10">
        <f>IF(G1026="Sim",VLOOKUP("EA Play",Parâmetros!$A$11:$B$13,2,0),0)*K1026</f>
        <v>144.71</v>
      </c>
      <c r="N1026" s="10">
        <f>IF(H1026="Sim",VLOOKUP("Minecraft Pass",Parâmetros!$A$11:$B$13,2,0),0)*K1026</f>
        <v>0</v>
      </c>
      <c r="O1026" s="10">
        <f>IF(I1026="Sim",VLOOKUP("Call of Duty Pass",Parâmetros!$A$11:$B$13,2,0),0)*K1026</f>
        <v>202.71</v>
      </c>
      <c r="P1026" s="10">
        <f>(L1026*K1026+M1026+N1026+O1026)*IF(F1026="Promoção",1-Parâmetros!$B$22,1)</f>
        <v>985.13</v>
      </c>
      <c r="Q1026" s="10">
        <f>Parâmetros!$B$20*K1026</f>
        <v>348</v>
      </c>
      <c r="R1026" s="10">
        <f>P1026-Q1026</f>
        <v>637.13</v>
      </c>
    </row>
    <row r="1027" spans="1:18">
      <c r="A1027">
        <v>1026</v>
      </c>
      <c r="B1027" s="8">
        <v>45965</v>
      </c>
      <c r="C1027" t="s">
        <v>7</v>
      </c>
      <c r="D1027" t="s">
        <v>46</v>
      </c>
      <c r="E1027" t="s">
        <v>47</v>
      </c>
      <c r="F1027" t="s">
        <v>42</v>
      </c>
      <c r="G1027" t="s">
        <v>44</v>
      </c>
      <c r="H1027" t="s">
        <v>44</v>
      </c>
      <c r="I1027" t="s">
        <v>43</v>
      </c>
      <c r="J1027" t="s">
        <v>45</v>
      </c>
      <c r="K1027" s="9">
        <v>35</v>
      </c>
      <c r="L1027" s="10">
        <f>IFERROR(VLOOKUP(C1027,Parâmetros!$A$5:$D$7,IF(D1027="Mensal",2,IF(D1027="Trimestral",3,4)),0),0)</f>
        <v>14.99</v>
      </c>
      <c r="M1027" s="10">
        <f>IF(G1027="Sim",VLOOKUP("EA Play",Parâmetros!$A$11:$B$13,2,0),0)*K1027</f>
        <v>0</v>
      </c>
      <c r="N1027" s="10">
        <f>IF(H1027="Sim",VLOOKUP("Minecraft Pass",Parâmetros!$A$11:$B$13,2,0),0)*K1027</f>
        <v>0</v>
      </c>
      <c r="O1027" s="10">
        <f>IF(I1027="Sim",VLOOKUP("Call of Duty Pass",Parâmetros!$A$11:$B$13,2,0),0)*K1027</f>
        <v>244.65</v>
      </c>
      <c r="P1027" s="10">
        <f>(L1027*K1027+M1027+N1027+O1027)*IF(F1027="Promoção",1-Parâmetros!$B$22,1)</f>
        <v>769.3</v>
      </c>
      <c r="Q1027" s="10">
        <f>Parâmetros!$B$20*K1027</f>
        <v>420</v>
      </c>
      <c r="R1027" s="10">
        <f>P1027-Q1027</f>
        <v>349.29999999999995</v>
      </c>
    </row>
    <row r="1028" spans="1:18">
      <c r="A1028">
        <v>1027</v>
      </c>
      <c r="B1028" s="8">
        <v>45497</v>
      </c>
      <c r="C1028" t="s">
        <v>7</v>
      </c>
      <c r="D1028" t="s">
        <v>46</v>
      </c>
      <c r="E1028" t="s">
        <v>51</v>
      </c>
      <c r="F1028" t="s">
        <v>54</v>
      </c>
      <c r="G1028" t="s">
        <v>44</v>
      </c>
      <c r="H1028" t="s">
        <v>44</v>
      </c>
      <c r="I1028" t="s">
        <v>44</v>
      </c>
      <c r="J1028" t="s">
        <v>45</v>
      </c>
      <c r="K1028" s="9">
        <v>7</v>
      </c>
      <c r="L1028" s="10">
        <f>IFERROR(VLOOKUP(C1028,Parâmetros!$A$5:$D$7,IF(D1028="Mensal",2,IF(D1028="Trimestral",3,4)),0),0)</f>
        <v>14.99</v>
      </c>
      <c r="M1028" s="10">
        <f>IF(G1028="Sim",VLOOKUP("EA Play",Parâmetros!$A$11:$B$13,2,0),0)*K1028</f>
        <v>0</v>
      </c>
      <c r="N1028" s="10">
        <f>IF(H1028="Sim",VLOOKUP("Minecraft Pass",Parâmetros!$A$11:$B$13,2,0),0)*K1028</f>
        <v>0</v>
      </c>
      <c r="O1028" s="10">
        <f>IF(I1028="Sim",VLOOKUP("Call of Duty Pass",Parâmetros!$A$11:$B$13,2,0),0)*K1028</f>
        <v>0</v>
      </c>
      <c r="P1028" s="10">
        <f>(L1028*K1028+M1028+N1028+O1028)*IF(F1028="Promoção",1-Parâmetros!$B$22,1)</f>
        <v>94.437000000000012</v>
      </c>
      <c r="Q1028" s="10">
        <f>Parâmetros!$B$20*K1028</f>
        <v>84</v>
      </c>
      <c r="R1028" s="10">
        <f>P1028-Q1028</f>
        <v>10.437000000000012</v>
      </c>
    </row>
    <row r="1029" spans="1:18">
      <c r="A1029">
        <v>1028</v>
      </c>
      <c r="B1029" s="8">
        <v>45767</v>
      </c>
      <c r="C1029" t="s">
        <v>7</v>
      </c>
      <c r="D1029" t="s">
        <v>46</v>
      </c>
      <c r="E1029" t="s">
        <v>41</v>
      </c>
      <c r="F1029" t="s">
        <v>48</v>
      </c>
      <c r="G1029" t="s">
        <v>44</v>
      </c>
      <c r="H1029" t="s">
        <v>43</v>
      </c>
      <c r="I1029" t="s">
        <v>44</v>
      </c>
      <c r="J1029" t="s">
        <v>45</v>
      </c>
      <c r="K1029" s="9">
        <v>29</v>
      </c>
      <c r="L1029" s="10">
        <f>IFERROR(VLOOKUP(C1029,Parâmetros!$A$5:$D$7,IF(D1029="Mensal",2,IF(D1029="Trimestral",3,4)),0),0)</f>
        <v>14.99</v>
      </c>
      <c r="M1029" s="10">
        <f>IF(G1029="Sim",VLOOKUP("EA Play",Parâmetros!$A$11:$B$13,2,0),0)*K1029</f>
        <v>0</v>
      </c>
      <c r="N1029" s="10">
        <f>IF(H1029="Sim",VLOOKUP("Minecraft Pass",Parâmetros!$A$11:$B$13,2,0),0)*K1029</f>
        <v>115.71000000000001</v>
      </c>
      <c r="O1029" s="10">
        <f>IF(I1029="Sim",VLOOKUP("Call of Duty Pass",Parâmetros!$A$11:$B$13,2,0),0)*K1029</f>
        <v>0</v>
      </c>
      <c r="P1029" s="10">
        <f>(L1029*K1029+M1029+N1029+O1029)*IF(F1029="Promoção",1-Parâmetros!$B$22,1)</f>
        <v>550.41999999999996</v>
      </c>
      <c r="Q1029" s="10">
        <f>Parâmetros!$B$20*K1029</f>
        <v>348</v>
      </c>
      <c r="R1029" s="10">
        <f>P1029-Q1029</f>
        <v>202.41999999999996</v>
      </c>
    </row>
    <row r="1030" spans="1:18">
      <c r="A1030">
        <v>1029</v>
      </c>
      <c r="B1030" s="8">
        <v>45335</v>
      </c>
      <c r="C1030" t="s">
        <v>8</v>
      </c>
      <c r="D1030" t="s">
        <v>46</v>
      </c>
      <c r="E1030" t="s">
        <v>41</v>
      </c>
      <c r="F1030" t="s">
        <v>54</v>
      </c>
      <c r="G1030" t="s">
        <v>44</v>
      </c>
      <c r="H1030" t="s">
        <v>43</v>
      </c>
      <c r="I1030" t="s">
        <v>43</v>
      </c>
      <c r="J1030" t="s">
        <v>49</v>
      </c>
      <c r="K1030" s="9">
        <v>33</v>
      </c>
      <c r="L1030" s="10">
        <f>IFERROR(VLOOKUP(C1030,Parâmetros!$A$5:$D$7,IF(D1030="Mensal",2,IF(D1030="Trimestral",3,4)),0),0)</f>
        <v>21.99</v>
      </c>
      <c r="M1030" s="10">
        <f>IF(G1030="Sim",VLOOKUP("EA Play",Parâmetros!$A$11:$B$13,2,0),0)*K1030</f>
        <v>0</v>
      </c>
      <c r="N1030" s="10">
        <f>IF(H1030="Sim",VLOOKUP("Minecraft Pass",Parâmetros!$A$11:$B$13,2,0),0)*K1030</f>
        <v>131.67000000000002</v>
      </c>
      <c r="O1030" s="10">
        <f>IF(I1030="Sim",VLOOKUP("Call of Duty Pass",Parâmetros!$A$11:$B$13,2,0),0)*K1030</f>
        <v>230.67000000000002</v>
      </c>
      <c r="P1030" s="10">
        <f>(L1030*K1030+M1030+N1030+O1030)*IF(F1030="Promoção",1-Parâmetros!$B$22,1)</f>
        <v>979.20900000000006</v>
      </c>
      <c r="Q1030" s="10">
        <f>Parâmetros!$B$20*K1030</f>
        <v>396</v>
      </c>
      <c r="R1030" s="10">
        <f>P1030-Q1030</f>
        <v>583.20900000000006</v>
      </c>
    </row>
    <row r="1031" spans="1:18">
      <c r="A1031">
        <v>1030</v>
      </c>
      <c r="B1031" s="8">
        <v>45507</v>
      </c>
      <c r="C1031" t="s">
        <v>6</v>
      </c>
      <c r="D1031" t="s">
        <v>40</v>
      </c>
      <c r="E1031" t="s">
        <v>41</v>
      </c>
      <c r="F1031" t="s">
        <v>42</v>
      </c>
      <c r="G1031" t="s">
        <v>44</v>
      </c>
      <c r="H1031" t="s">
        <v>43</v>
      </c>
      <c r="I1031" t="s">
        <v>44</v>
      </c>
      <c r="J1031" t="s">
        <v>49</v>
      </c>
      <c r="K1031" s="9">
        <v>9</v>
      </c>
      <c r="L1031" s="10">
        <f>IFERROR(VLOOKUP(C1031,Parâmetros!$A$5:$D$7,IF(D1031="Mensal",2,IF(D1031="Trimestral",3,4)),0),0)</f>
        <v>27</v>
      </c>
      <c r="M1031" s="10">
        <f>IF(G1031="Sim",VLOOKUP("EA Play",Parâmetros!$A$11:$B$13,2,0),0)*K1031</f>
        <v>0</v>
      </c>
      <c r="N1031" s="10">
        <f>IF(H1031="Sim",VLOOKUP("Minecraft Pass",Parâmetros!$A$11:$B$13,2,0),0)*K1031</f>
        <v>35.910000000000004</v>
      </c>
      <c r="O1031" s="10">
        <f>IF(I1031="Sim",VLOOKUP("Call of Duty Pass",Parâmetros!$A$11:$B$13,2,0),0)*K1031</f>
        <v>0</v>
      </c>
      <c r="P1031" s="10">
        <f>(L1031*K1031+M1031+N1031+O1031)*IF(F1031="Promoção",1-Parâmetros!$B$22,1)</f>
        <v>278.91000000000003</v>
      </c>
      <c r="Q1031" s="10">
        <f>Parâmetros!$B$20*K1031</f>
        <v>108</v>
      </c>
      <c r="R1031" s="10">
        <f>P1031-Q1031</f>
        <v>170.91000000000003</v>
      </c>
    </row>
    <row r="1032" spans="1:18">
      <c r="A1032">
        <v>1031</v>
      </c>
      <c r="B1032" s="8">
        <v>45577</v>
      </c>
      <c r="C1032" t="s">
        <v>8</v>
      </c>
      <c r="D1032" t="s">
        <v>40</v>
      </c>
      <c r="E1032" t="s">
        <v>55</v>
      </c>
      <c r="F1032" t="s">
        <v>42</v>
      </c>
      <c r="G1032" t="s">
        <v>44</v>
      </c>
      <c r="H1032" t="s">
        <v>44</v>
      </c>
      <c r="I1032" t="s">
        <v>44</v>
      </c>
      <c r="J1032" t="s">
        <v>45</v>
      </c>
      <c r="K1032" s="9">
        <v>12</v>
      </c>
      <c r="L1032" s="10">
        <f>IFERROR(VLOOKUP(C1032,Parâmetros!$A$5:$D$7,IF(D1032="Mensal",2,IF(D1032="Trimestral",3,4)),0),0)</f>
        <v>59</v>
      </c>
      <c r="M1032" s="10">
        <f>IF(G1032="Sim",VLOOKUP("EA Play",Parâmetros!$A$11:$B$13,2,0),0)*K1032</f>
        <v>0</v>
      </c>
      <c r="N1032" s="10">
        <f>IF(H1032="Sim",VLOOKUP("Minecraft Pass",Parâmetros!$A$11:$B$13,2,0),0)*K1032</f>
        <v>0</v>
      </c>
      <c r="O1032" s="10">
        <f>IF(I1032="Sim",VLOOKUP("Call of Duty Pass",Parâmetros!$A$11:$B$13,2,0),0)*K1032</f>
        <v>0</v>
      </c>
      <c r="P1032" s="10">
        <f>(L1032*K1032+M1032+N1032+O1032)*IF(F1032="Promoção",1-Parâmetros!$B$22,1)</f>
        <v>708</v>
      </c>
      <c r="Q1032" s="10">
        <f>Parâmetros!$B$20*K1032</f>
        <v>144</v>
      </c>
      <c r="R1032" s="10">
        <f>P1032-Q1032</f>
        <v>564</v>
      </c>
    </row>
    <row r="1033" spans="1:18">
      <c r="A1033">
        <v>1032</v>
      </c>
      <c r="B1033" s="8">
        <v>45881</v>
      </c>
      <c r="C1033" t="s">
        <v>7</v>
      </c>
      <c r="D1033" t="s">
        <v>40</v>
      </c>
      <c r="E1033" t="s">
        <v>51</v>
      </c>
      <c r="F1033" t="s">
        <v>42</v>
      </c>
      <c r="G1033" t="s">
        <v>44</v>
      </c>
      <c r="H1033" t="s">
        <v>44</v>
      </c>
      <c r="I1033" t="s">
        <v>44</v>
      </c>
      <c r="J1033" t="s">
        <v>45</v>
      </c>
      <c r="K1033" s="9">
        <v>26</v>
      </c>
      <c r="L1033" s="10">
        <f>IFERROR(VLOOKUP(C1033,Parâmetros!$A$5:$D$7,IF(D1033="Mensal",2,IF(D1033="Trimestral",3,4)),0),0)</f>
        <v>40</v>
      </c>
      <c r="M1033" s="10">
        <f>IF(G1033="Sim",VLOOKUP("EA Play",Parâmetros!$A$11:$B$13,2,0),0)*K1033</f>
        <v>0</v>
      </c>
      <c r="N1033" s="10">
        <f>IF(H1033="Sim",VLOOKUP("Minecraft Pass",Parâmetros!$A$11:$B$13,2,0),0)*K1033</f>
        <v>0</v>
      </c>
      <c r="O1033" s="10">
        <f>IF(I1033="Sim",VLOOKUP("Call of Duty Pass",Parâmetros!$A$11:$B$13,2,0),0)*K1033</f>
        <v>0</v>
      </c>
      <c r="P1033" s="10">
        <f>(L1033*K1033+M1033+N1033+O1033)*IF(F1033="Promoção",1-Parâmetros!$B$22,1)</f>
        <v>1040</v>
      </c>
      <c r="Q1033" s="10">
        <f>Parâmetros!$B$20*K1033</f>
        <v>312</v>
      </c>
      <c r="R1033" s="10">
        <f>P1033-Q1033</f>
        <v>728</v>
      </c>
    </row>
    <row r="1034" spans="1:18">
      <c r="A1034">
        <v>1033</v>
      </c>
      <c r="B1034" s="8">
        <v>45361</v>
      </c>
      <c r="C1034" t="s">
        <v>6</v>
      </c>
      <c r="D1034" t="s">
        <v>50</v>
      </c>
      <c r="E1034" t="s">
        <v>41</v>
      </c>
      <c r="F1034" t="s">
        <v>42</v>
      </c>
      <c r="G1034" t="s">
        <v>43</v>
      </c>
      <c r="H1034" t="s">
        <v>44</v>
      </c>
      <c r="I1034" t="s">
        <v>44</v>
      </c>
      <c r="J1034" t="s">
        <v>45</v>
      </c>
      <c r="K1034" s="9">
        <v>16</v>
      </c>
      <c r="L1034" s="10">
        <f>IFERROR(VLOOKUP(C1034,Parâmetros!$A$5:$D$7,IF(D1034="Mensal",2,IF(D1034="Trimestral",3,4)),0),0)</f>
        <v>99</v>
      </c>
      <c r="M1034" s="10">
        <f>IF(G1034="Sim",VLOOKUP("EA Play",Parâmetros!$A$11:$B$13,2,0),0)*K1034</f>
        <v>79.84</v>
      </c>
      <c r="N1034" s="10">
        <f>IF(H1034="Sim",VLOOKUP("Minecraft Pass",Parâmetros!$A$11:$B$13,2,0),0)*K1034</f>
        <v>0</v>
      </c>
      <c r="O1034" s="10">
        <f>IF(I1034="Sim",VLOOKUP("Call of Duty Pass",Parâmetros!$A$11:$B$13,2,0),0)*K1034</f>
        <v>0</v>
      </c>
      <c r="P1034" s="10">
        <f>(L1034*K1034+M1034+N1034+O1034)*IF(F1034="Promoção",1-Parâmetros!$B$22,1)</f>
        <v>1663.84</v>
      </c>
      <c r="Q1034" s="10">
        <f>Parâmetros!$B$20*K1034</f>
        <v>192</v>
      </c>
      <c r="R1034" s="10">
        <f>P1034-Q1034</f>
        <v>1471.84</v>
      </c>
    </row>
    <row r="1035" spans="1:18">
      <c r="A1035">
        <v>1034</v>
      </c>
      <c r="B1035" s="8">
        <v>45399</v>
      </c>
      <c r="C1035" t="s">
        <v>8</v>
      </c>
      <c r="D1035" t="s">
        <v>46</v>
      </c>
      <c r="E1035" t="s">
        <v>55</v>
      </c>
      <c r="F1035" t="s">
        <v>52</v>
      </c>
      <c r="G1035" t="s">
        <v>43</v>
      </c>
      <c r="H1035" t="s">
        <v>43</v>
      </c>
      <c r="I1035" t="s">
        <v>44</v>
      </c>
      <c r="J1035" t="s">
        <v>49</v>
      </c>
      <c r="K1035" s="9">
        <v>5</v>
      </c>
      <c r="L1035" s="10">
        <f>IFERROR(VLOOKUP(C1035,Parâmetros!$A$5:$D$7,IF(D1035="Mensal",2,IF(D1035="Trimestral",3,4)),0),0)</f>
        <v>21.99</v>
      </c>
      <c r="M1035" s="10">
        <f>IF(G1035="Sim",VLOOKUP("EA Play",Parâmetros!$A$11:$B$13,2,0),0)*K1035</f>
        <v>24.950000000000003</v>
      </c>
      <c r="N1035" s="10">
        <f>IF(H1035="Sim",VLOOKUP("Minecraft Pass",Parâmetros!$A$11:$B$13,2,0),0)*K1035</f>
        <v>19.950000000000003</v>
      </c>
      <c r="O1035" s="10">
        <f>IF(I1035="Sim",VLOOKUP("Call of Duty Pass",Parâmetros!$A$11:$B$13,2,0),0)*K1035</f>
        <v>0</v>
      </c>
      <c r="P1035" s="10">
        <f>(L1035*K1035+M1035+N1035+O1035)*IF(F1035="Promoção",1-Parâmetros!$B$22,1)</f>
        <v>154.84999999999997</v>
      </c>
      <c r="Q1035" s="10">
        <f>Parâmetros!$B$20*K1035</f>
        <v>60</v>
      </c>
      <c r="R1035" s="10">
        <f>P1035-Q1035</f>
        <v>94.849999999999966</v>
      </c>
    </row>
    <row r="1036" spans="1:18">
      <c r="A1036">
        <v>1035</v>
      </c>
      <c r="B1036" s="8">
        <v>45744</v>
      </c>
      <c r="C1036" t="s">
        <v>8</v>
      </c>
      <c r="D1036" t="s">
        <v>40</v>
      </c>
      <c r="E1036" t="s">
        <v>55</v>
      </c>
      <c r="F1036" t="s">
        <v>54</v>
      </c>
      <c r="G1036" t="s">
        <v>43</v>
      </c>
      <c r="H1036" t="s">
        <v>44</v>
      </c>
      <c r="I1036" t="s">
        <v>44</v>
      </c>
      <c r="J1036" t="s">
        <v>45</v>
      </c>
      <c r="K1036" s="9">
        <v>13</v>
      </c>
      <c r="L1036" s="10">
        <f>IFERROR(VLOOKUP(C1036,Parâmetros!$A$5:$D$7,IF(D1036="Mensal",2,IF(D1036="Trimestral",3,4)),0),0)</f>
        <v>59</v>
      </c>
      <c r="M1036" s="10">
        <f>IF(G1036="Sim",VLOOKUP("EA Play",Parâmetros!$A$11:$B$13,2,0),0)*K1036</f>
        <v>64.87</v>
      </c>
      <c r="N1036" s="10">
        <f>IF(H1036="Sim",VLOOKUP("Minecraft Pass",Parâmetros!$A$11:$B$13,2,0),0)*K1036</f>
        <v>0</v>
      </c>
      <c r="O1036" s="10">
        <f>IF(I1036="Sim",VLOOKUP("Call of Duty Pass",Parâmetros!$A$11:$B$13,2,0),0)*K1036</f>
        <v>0</v>
      </c>
      <c r="P1036" s="10">
        <f>(L1036*K1036+M1036+N1036+O1036)*IF(F1036="Promoção",1-Parâmetros!$B$22,1)</f>
        <v>748.68299999999999</v>
      </c>
      <c r="Q1036" s="10">
        <f>Parâmetros!$B$20*K1036</f>
        <v>156</v>
      </c>
      <c r="R1036" s="10">
        <f>P1036-Q1036</f>
        <v>592.68299999999999</v>
      </c>
    </row>
    <row r="1037" spans="1:18">
      <c r="A1037">
        <v>1036</v>
      </c>
      <c r="B1037" s="8">
        <v>45492</v>
      </c>
      <c r="C1037" t="s">
        <v>6</v>
      </c>
      <c r="D1037" t="s">
        <v>46</v>
      </c>
      <c r="E1037" t="s">
        <v>41</v>
      </c>
      <c r="F1037" t="s">
        <v>42</v>
      </c>
      <c r="G1037" t="s">
        <v>43</v>
      </c>
      <c r="H1037" t="s">
        <v>44</v>
      </c>
      <c r="I1037" t="s">
        <v>44</v>
      </c>
      <c r="J1037" t="s">
        <v>49</v>
      </c>
      <c r="K1037" s="9">
        <v>2</v>
      </c>
      <c r="L1037" s="10">
        <f>IFERROR(VLOOKUP(C1037,Parâmetros!$A$5:$D$7,IF(D1037="Mensal",2,IF(D1037="Trimestral",3,4)),0),0)</f>
        <v>9.99</v>
      </c>
      <c r="M1037" s="10">
        <f>IF(G1037="Sim",VLOOKUP("EA Play",Parâmetros!$A$11:$B$13,2,0),0)*K1037</f>
        <v>9.98</v>
      </c>
      <c r="N1037" s="10">
        <f>IF(H1037="Sim",VLOOKUP("Minecraft Pass",Parâmetros!$A$11:$B$13,2,0),0)*K1037</f>
        <v>0</v>
      </c>
      <c r="O1037" s="10">
        <f>IF(I1037="Sim",VLOOKUP("Call of Duty Pass",Parâmetros!$A$11:$B$13,2,0),0)*K1037</f>
        <v>0</v>
      </c>
      <c r="P1037" s="10">
        <f>(L1037*K1037+M1037+N1037+O1037)*IF(F1037="Promoção",1-Parâmetros!$B$22,1)</f>
        <v>29.96</v>
      </c>
      <c r="Q1037" s="10">
        <f>Parâmetros!$B$20*K1037</f>
        <v>24</v>
      </c>
      <c r="R1037" s="10">
        <f>P1037-Q1037</f>
        <v>5.9600000000000009</v>
      </c>
    </row>
    <row r="1038" spans="1:18">
      <c r="A1038">
        <v>1037</v>
      </c>
      <c r="B1038" s="8">
        <v>45936</v>
      </c>
      <c r="C1038" t="s">
        <v>8</v>
      </c>
      <c r="D1038" t="s">
        <v>46</v>
      </c>
      <c r="E1038" t="s">
        <v>41</v>
      </c>
      <c r="F1038" t="s">
        <v>42</v>
      </c>
      <c r="G1038" t="s">
        <v>43</v>
      </c>
      <c r="H1038" t="s">
        <v>44</v>
      </c>
      <c r="I1038" t="s">
        <v>44</v>
      </c>
      <c r="J1038" t="s">
        <v>45</v>
      </c>
      <c r="K1038" s="9">
        <v>22</v>
      </c>
      <c r="L1038" s="10">
        <f>IFERROR(VLOOKUP(C1038,Parâmetros!$A$5:$D$7,IF(D1038="Mensal",2,IF(D1038="Trimestral",3,4)),0),0)</f>
        <v>21.99</v>
      </c>
      <c r="M1038" s="10">
        <f>IF(G1038="Sim",VLOOKUP("EA Play",Parâmetros!$A$11:$B$13,2,0),0)*K1038</f>
        <v>109.78</v>
      </c>
      <c r="N1038" s="10">
        <f>IF(H1038="Sim",VLOOKUP("Minecraft Pass",Parâmetros!$A$11:$B$13,2,0),0)*K1038</f>
        <v>0</v>
      </c>
      <c r="O1038" s="10">
        <f>IF(I1038="Sim",VLOOKUP("Call of Duty Pass",Parâmetros!$A$11:$B$13,2,0),0)*K1038</f>
        <v>0</v>
      </c>
      <c r="P1038" s="10">
        <f>(L1038*K1038+M1038+N1038+O1038)*IF(F1038="Promoção",1-Parâmetros!$B$22,1)</f>
        <v>593.55999999999995</v>
      </c>
      <c r="Q1038" s="10">
        <f>Parâmetros!$B$20*K1038</f>
        <v>264</v>
      </c>
      <c r="R1038" s="10">
        <f>P1038-Q1038</f>
        <v>329.55999999999995</v>
      </c>
    </row>
    <row r="1039" spans="1:18">
      <c r="A1039">
        <v>1038</v>
      </c>
      <c r="B1039" s="8">
        <v>45481</v>
      </c>
      <c r="C1039" t="s">
        <v>7</v>
      </c>
      <c r="D1039" t="s">
        <v>50</v>
      </c>
      <c r="E1039" t="s">
        <v>51</v>
      </c>
      <c r="F1039" t="s">
        <v>48</v>
      </c>
      <c r="G1039" t="s">
        <v>43</v>
      </c>
      <c r="H1039" t="s">
        <v>43</v>
      </c>
      <c r="I1039" t="s">
        <v>44</v>
      </c>
      <c r="J1039" t="s">
        <v>49</v>
      </c>
      <c r="K1039" s="9">
        <v>23</v>
      </c>
      <c r="L1039" s="10">
        <f>IFERROR(VLOOKUP(C1039,Parâmetros!$A$5:$D$7,IF(D1039="Mensal",2,IF(D1039="Trimestral",3,4)),0),0)</f>
        <v>149</v>
      </c>
      <c r="M1039" s="10">
        <f>IF(G1039="Sim",VLOOKUP("EA Play",Parâmetros!$A$11:$B$13,2,0),0)*K1039</f>
        <v>114.77000000000001</v>
      </c>
      <c r="N1039" s="10">
        <f>IF(H1039="Sim",VLOOKUP("Minecraft Pass",Parâmetros!$A$11:$B$13,2,0),0)*K1039</f>
        <v>91.77000000000001</v>
      </c>
      <c r="O1039" s="10">
        <f>IF(I1039="Sim",VLOOKUP("Call of Duty Pass",Parâmetros!$A$11:$B$13,2,0),0)*K1039</f>
        <v>0</v>
      </c>
      <c r="P1039" s="10">
        <f>(L1039*K1039+M1039+N1039+O1039)*IF(F1039="Promoção",1-Parâmetros!$B$22,1)</f>
        <v>3633.54</v>
      </c>
      <c r="Q1039" s="10">
        <f>Parâmetros!$B$20*K1039</f>
        <v>276</v>
      </c>
      <c r="R1039" s="10">
        <f>P1039-Q1039</f>
        <v>3357.54</v>
      </c>
    </row>
    <row r="1040" spans="1:18">
      <c r="A1040">
        <v>1039</v>
      </c>
      <c r="B1040" s="8">
        <v>45925</v>
      </c>
      <c r="C1040" t="s">
        <v>8</v>
      </c>
      <c r="D1040" t="s">
        <v>50</v>
      </c>
      <c r="E1040" t="s">
        <v>51</v>
      </c>
      <c r="F1040" t="s">
        <v>48</v>
      </c>
      <c r="G1040" t="s">
        <v>44</v>
      </c>
      <c r="H1040" t="s">
        <v>44</v>
      </c>
      <c r="I1040" t="s">
        <v>44</v>
      </c>
      <c r="J1040" t="s">
        <v>49</v>
      </c>
      <c r="K1040" s="9">
        <v>34</v>
      </c>
      <c r="L1040" s="10">
        <f>IFERROR(VLOOKUP(C1040,Parâmetros!$A$5:$D$7,IF(D1040="Mensal",2,IF(D1040="Trimestral",3,4)),0),0)</f>
        <v>219</v>
      </c>
      <c r="M1040" s="10">
        <f>IF(G1040="Sim",VLOOKUP("EA Play",Parâmetros!$A$11:$B$13,2,0),0)*K1040</f>
        <v>0</v>
      </c>
      <c r="N1040" s="10">
        <f>IF(H1040="Sim",VLOOKUP("Minecraft Pass",Parâmetros!$A$11:$B$13,2,0),0)*K1040</f>
        <v>0</v>
      </c>
      <c r="O1040" s="10">
        <f>IF(I1040="Sim",VLOOKUP("Call of Duty Pass",Parâmetros!$A$11:$B$13,2,0),0)*K1040</f>
        <v>0</v>
      </c>
      <c r="P1040" s="10">
        <f>(L1040*K1040+M1040+N1040+O1040)*IF(F1040="Promoção",1-Parâmetros!$B$22,1)</f>
        <v>7446</v>
      </c>
      <c r="Q1040" s="10">
        <f>Parâmetros!$B$20*K1040</f>
        <v>408</v>
      </c>
      <c r="R1040" s="10">
        <f>P1040-Q1040</f>
        <v>7038</v>
      </c>
    </row>
    <row r="1041" spans="1:18">
      <c r="A1041">
        <v>1040</v>
      </c>
      <c r="B1041" s="8">
        <v>45597</v>
      </c>
      <c r="C1041" t="s">
        <v>6</v>
      </c>
      <c r="D1041" t="s">
        <v>46</v>
      </c>
      <c r="E1041" t="s">
        <v>41</v>
      </c>
      <c r="F1041" t="s">
        <v>48</v>
      </c>
      <c r="G1041" t="s">
        <v>43</v>
      </c>
      <c r="H1041" t="s">
        <v>44</v>
      </c>
      <c r="I1041" t="s">
        <v>43</v>
      </c>
      <c r="J1041" t="s">
        <v>45</v>
      </c>
      <c r="K1041" s="9">
        <v>25</v>
      </c>
      <c r="L1041" s="10">
        <f>IFERROR(VLOOKUP(C1041,Parâmetros!$A$5:$D$7,IF(D1041="Mensal",2,IF(D1041="Trimestral",3,4)),0),0)</f>
        <v>9.99</v>
      </c>
      <c r="M1041" s="10">
        <f>IF(G1041="Sim",VLOOKUP("EA Play",Parâmetros!$A$11:$B$13,2,0),0)*K1041</f>
        <v>124.75</v>
      </c>
      <c r="N1041" s="10">
        <f>IF(H1041="Sim",VLOOKUP("Minecraft Pass",Parâmetros!$A$11:$B$13,2,0),0)*K1041</f>
        <v>0</v>
      </c>
      <c r="O1041" s="10">
        <f>IF(I1041="Sim",VLOOKUP("Call of Duty Pass",Parâmetros!$A$11:$B$13,2,0),0)*K1041</f>
        <v>174.75</v>
      </c>
      <c r="P1041" s="10">
        <f>(L1041*K1041+M1041+N1041+O1041)*IF(F1041="Promoção",1-Parâmetros!$B$22,1)</f>
        <v>549.25</v>
      </c>
      <c r="Q1041" s="10">
        <f>Parâmetros!$B$20*K1041</f>
        <v>300</v>
      </c>
      <c r="R1041" s="10">
        <f>P1041-Q1041</f>
        <v>249.25</v>
      </c>
    </row>
    <row r="1042" spans="1:18">
      <c r="A1042">
        <v>1041</v>
      </c>
      <c r="B1042" s="8">
        <v>46012</v>
      </c>
      <c r="C1042" t="s">
        <v>6</v>
      </c>
      <c r="D1042" t="s">
        <v>50</v>
      </c>
      <c r="E1042" t="s">
        <v>41</v>
      </c>
      <c r="F1042" t="s">
        <v>42</v>
      </c>
      <c r="G1042" t="s">
        <v>44</v>
      </c>
      <c r="H1042" t="s">
        <v>43</v>
      </c>
      <c r="I1042" t="s">
        <v>44</v>
      </c>
      <c r="J1042" t="s">
        <v>45</v>
      </c>
      <c r="K1042" s="9">
        <v>20</v>
      </c>
      <c r="L1042" s="10">
        <f>IFERROR(VLOOKUP(C1042,Parâmetros!$A$5:$D$7,IF(D1042="Mensal",2,IF(D1042="Trimestral",3,4)),0),0)</f>
        <v>99</v>
      </c>
      <c r="M1042" s="10">
        <f>IF(G1042="Sim",VLOOKUP("EA Play",Parâmetros!$A$11:$B$13,2,0),0)*K1042</f>
        <v>0</v>
      </c>
      <c r="N1042" s="10">
        <f>IF(H1042="Sim",VLOOKUP("Minecraft Pass",Parâmetros!$A$11:$B$13,2,0),0)*K1042</f>
        <v>79.800000000000011</v>
      </c>
      <c r="O1042" s="10">
        <f>IF(I1042="Sim",VLOOKUP("Call of Duty Pass",Parâmetros!$A$11:$B$13,2,0),0)*K1042</f>
        <v>0</v>
      </c>
      <c r="P1042" s="10">
        <f>(L1042*K1042+M1042+N1042+O1042)*IF(F1042="Promoção",1-Parâmetros!$B$22,1)</f>
        <v>2059.8000000000002</v>
      </c>
      <c r="Q1042" s="10">
        <f>Parâmetros!$B$20*K1042</f>
        <v>240</v>
      </c>
      <c r="R1042" s="10">
        <f>P1042-Q1042</f>
        <v>1819.8000000000002</v>
      </c>
    </row>
    <row r="1043" spans="1:18">
      <c r="A1043">
        <v>1042</v>
      </c>
      <c r="B1043" s="8">
        <v>45700</v>
      </c>
      <c r="C1043" t="s">
        <v>7</v>
      </c>
      <c r="D1043" t="s">
        <v>40</v>
      </c>
      <c r="E1043" t="s">
        <v>55</v>
      </c>
      <c r="F1043" t="s">
        <v>48</v>
      </c>
      <c r="G1043" t="s">
        <v>44</v>
      </c>
      <c r="H1043" t="s">
        <v>44</v>
      </c>
      <c r="I1043" t="s">
        <v>44</v>
      </c>
      <c r="J1043" t="s">
        <v>49</v>
      </c>
      <c r="K1043" s="9">
        <v>27</v>
      </c>
      <c r="L1043" s="10">
        <f>IFERROR(VLOOKUP(C1043,Parâmetros!$A$5:$D$7,IF(D1043="Mensal",2,IF(D1043="Trimestral",3,4)),0),0)</f>
        <v>40</v>
      </c>
      <c r="M1043" s="10">
        <f>IF(G1043="Sim",VLOOKUP("EA Play",Parâmetros!$A$11:$B$13,2,0),0)*K1043</f>
        <v>0</v>
      </c>
      <c r="N1043" s="10">
        <f>IF(H1043="Sim",VLOOKUP("Minecraft Pass",Parâmetros!$A$11:$B$13,2,0),0)*K1043</f>
        <v>0</v>
      </c>
      <c r="O1043" s="10">
        <f>IF(I1043="Sim",VLOOKUP("Call of Duty Pass",Parâmetros!$A$11:$B$13,2,0),0)*K1043</f>
        <v>0</v>
      </c>
      <c r="P1043" s="10">
        <f>(L1043*K1043+M1043+N1043+O1043)*IF(F1043="Promoção",1-Parâmetros!$B$22,1)</f>
        <v>1080</v>
      </c>
      <c r="Q1043" s="10">
        <f>Parâmetros!$B$20*K1043</f>
        <v>324</v>
      </c>
      <c r="R1043" s="10">
        <f>P1043-Q1043</f>
        <v>756</v>
      </c>
    </row>
    <row r="1044" spans="1:18">
      <c r="A1044">
        <v>1043</v>
      </c>
      <c r="B1044" s="8">
        <v>45559</v>
      </c>
      <c r="C1044" t="s">
        <v>6</v>
      </c>
      <c r="D1044" t="s">
        <v>50</v>
      </c>
      <c r="E1044" t="s">
        <v>41</v>
      </c>
      <c r="F1044" t="s">
        <v>42</v>
      </c>
      <c r="G1044" t="s">
        <v>44</v>
      </c>
      <c r="H1044" t="s">
        <v>43</v>
      </c>
      <c r="I1044" t="s">
        <v>44</v>
      </c>
      <c r="J1044" t="s">
        <v>45</v>
      </c>
      <c r="K1044" s="9">
        <v>4</v>
      </c>
      <c r="L1044" s="10">
        <f>IFERROR(VLOOKUP(C1044,Parâmetros!$A$5:$D$7,IF(D1044="Mensal",2,IF(D1044="Trimestral",3,4)),0),0)</f>
        <v>99</v>
      </c>
      <c r="M1044" s="10">
        <f>IF(G1044="Sim",VLOOKUP("EA Play",Parâmetros!$A$11:$B$13,2,0),0)*K1044</f>
        <v>0</v>
      </c>
      <c r="N1044" s="10">
        <f>IF(H1044="Sim",VLOOKUP("Minecraft Pass",Parâmetros!$A$11:$B$13,2,0),0)*K1044</f>
        <v>15.96</v>
      </c>
      <c r="O1044" s="10">
        <f>IF(I1044="Sim",VLOOKUP("Call of Duty Pass",Parâmetros!$A$11:$B$13,2,0),0)*K1044</f>
        <v>0</v>
      </c>
      <c r="P1044" s="10">
        <f>(L1044*K1044+M1044+N1044+O1044)*IF(F1044="Promoção",1-Parâmetros!$B$22,1)</f>
        <v>411.96</v>
      </c>
      <c r="Q1044" s="10">
        <f>Parâmetros!$B$20*K1044</f>
        <v>48</v>
      </c>
      <c r="R1044" s="10">
        <f>P1044-Q1044</f>
        <v>363.96</v>
      </c>
    </row>
    <row r="1045" spans="1:18">
      <c r="A1045">
        <v>1044</v>
      </c>
      <c r="B1045" s="8">
        <v>45533</v>
      </c>
      <c r="C1045" t="s">
        <v>7</v>
      </c>
      <c r="D1045" t="s">
        <v>50</v>
      </c>
      <c r="E1045" t="s">
        <v>47</v>
      </c>
      <c r="F1045" t="s">
        <v>52</v>
      </c>
      <c r="G1045" t="s">
        <v>44</v>
      </c>
      <c r="H1045" t="s">
        <v>44</v>
      </c>
      <c r="I1045" t="s">
        <v>44</v>
      </c>
      <c r="J1045" t="s">
        <v>49</v>
      </c>
      <c r="K1045" s="9">
        <v>27</v>
      </c>
      <c r="L1045" s="10">
        <f>IFERROR(VLOOKUP(C1045,Parâmetros!$A$5:$D$7,IF(D1045="Mensal",2,IF(D1045="Trimestral",3,4)),0),0)</f>
        <v>149</v>
      </c>
      <c r="M1045" s="10">
        <f>IF(G1045="Sim",VLOOKUP("EA Play",Parâmetros!$A$11:$B$13,2,0),0)*K1045</f>
        <v>0</v>
      </c>
      <c r="N1045" s="10">
        <f>IF(H1045="Sim",VLOOKUP("Minecraft Pass",Parâmetros!$A$11:$B$13,2,0),0)*K1045</f>
        <v>0</v>
      </c>
      <c r="O1045" s="10">
        <f>IF(I1045="Sim",VLOOKUP("Call of Duty Pass",Parâmetros!$A$11:$B$13,2,0),0)*K1045</f>
        <v>0</v>
      </c>
      <c r="P1045" s="10">
        <f>(L1045*K1045+M1045+N1045+O1045)*IF(F1045="Promoção",1-Parâmetros!$B$22,1)</f>
        <v>4023</v>
      </c>
      <c r="Q1045" s="10">
        <f>Parâmetros!$B$20*K1045</f>
        <v>324</v>
      </c>
      <c r="R1045" s="10">
        <f>P1045-Q1045</f>
        <v>3699</v>
      </c>
    </row>
    <row r="1046" spans="1:18">
      <c r="A1046">
        <v>1045</v>
      </c>
      <c r="B1046" s="8">
        <v>45904</v>
      </c>
      <c r="C1046" t="s">
        <v>7</v>
      </c>
      <c r="D1046" t="s">
        <v>50</v>
      </c>
      <c r="E1046" t="s">
        <v>55</v>
      </c>
      <c r="F1046" t="s">
        <v>48</v>
      </c>
      <c r="G1046" t="s">
        <v>43</v>
      </c>
      <c r="H1046" t="s">
        <v>44</v>
      </c>
      <c r="I1046" t="s">
        <v>43</v>
      </c>
      <c r="J1046" t="s">
        <v>49</v>
      </c>
      <c r="K1046" s="9">
        <v>15</v>
      </c>
      <c r="L1046" s="10">
        <f>IFERROR(VLOOKUP(C1046,Parâmetros!$A$5:$D$7,IF(D1046="Mensal",2,IF(D1046="Trimestral",3,4)),0),0)</f>
        <v>149</v>
      </c>
      <c r="M1046" s="10">
        <f>IF(G1046="Sim",VLOOKUP("EA Play",Parâmetros!$A$11:$B$13,2,0),0)*K1046</f>
        <v>74.850000000000009</v>
      </c>
      <c r="N1046" s="10">
        <f>IF(H1046="Sim",VLOOKUP("Minecraft Pass",Parâmetros!$A$11:$B$13,2,0),0)*K1046</f>
        <v>0</v>
      </c>
      <c r="O1046" s="10">
        <f>IF(I1046="Sim",VLOOKUP("Call of Duty Pass",Parâmetros!$A$11:$B$13,2,0),0)*K1046</f>
        <v>104.85000000000001</v>
      </c>
      <c r="P1046" s="10">
        <f>(L1046*K1046+M1046+N1046+O1046)*IF(F1046="Promoção",1-Parâmetros!$B$22,1)</f>
        <v>2414.6999999999998</v>
      </c>
      <c r="Q1046" s="10">
        <f>Parâmetros!$B$20*K1046</f>
        <v>180</v>
      </c>
      <c r="R1046" s="10">
        <f>P1046-Q1046</f>
        <v>2234.6999999999998</v>
      </c>
    </row>
    <row r="1047" spans="1:18">
      <c r="A1047">
        <v>1046</v>
      </c>
      <c r="B1047" s="8">
        <v>45957</v>
      </c>
      <c r="C1047" t="s">
        <v>6</v>
      </c>
      <c r="D1047" t="s">
        <v>46</v>
      </c>
      <c r="E1047" t="s">
        <v>51</v>
      </c>
      <c r="F1047" t="s">
        <v>54</v>
      </c>
      <c r="G1047" t="s">
        <v>43</v>
      </c>
      <c r="H1047" t="s">
        <v>44</v>
      </c>
      <c r="I1047" t="s">
        <v>43</v>
      </c>
      <c r="J1047" t="s">
        <v>45</v>
      </c>
      <c r="K1047" s="9">
        <v>13</v>
      </c>
      <c r="L1047" s="10">
        <f>IFERROR(VLOOKUP(C1047,Parâmetros!$A$5:$D$7,IF(D1047="Mensal",2,IF(D1047="Trimestral",3,4)),0),0)</f>
        <v>9.99</v>
      </c>
      <c r="M1047" s="10">
        <f>IF(G1047="Sim",VLOOKUP("EA Play",Parâmetros!$A$11:$B$13,2,0),0)*K1047</f>
        <v>64.87</v>
      </c>
      <c r="N1047" s="10">
        <f>IF(H1047="Sim",VLOOKUP("Minecraft Pass",Parâmetros!$A$11:$B$13,2,0),0)*K1047</f>
        <v>0</v>
      </c>
      <c r="O1047" s="10">
        <f>IF(I1047="Sim",VLOOKUP("Call of Duty Pass",Parâmetros!$A$11:$B$13,2,0),0)*K1047</f>
        <v>90.87</v>
      </c>
      <c r="P1047" s="10">
        <f>(L1047*K1047+M1047+N1047+O1047)*IF(F1047="Promoção",1-Parâmetros!$B$22,1)</f>
        <v>257.04900000000004</v>
      </c>
      <c r="Q1047" s="10">
        <f>Parâmetros!$B$20*K1047</f>
        <v>156</v>
      </c>
      <c r="R1047" s="10">
        <f>P1047-Q1047</f>
        <v>101.04900000000004</v>
      </c>
    </row>
    <row r="1048" spans="1:18">
      <c r="A1048">
        <v>1047</v>
      </c>
      <c r="B1048" s="8">
        <v>45839</v>
      </c>
      <c r="C1048" t="s">
        <v>7</v>
      </c>
      <c r="D1048" t="s">
        <v>46</v>
      </c>
      <c r="E1048" t="s">
        <v>51</v>
      </c>
      <c r="F1048" t="s">
        <v>42</v>
      </c>
      <c r="G1048" t="s">
        <v>44</v>
      </c>
      <c r="H1048" t="s">
        <v>43</v>
      </c>
      <c r="I1048" t="s">
        <v>44</v>
      </c>
      <c r="J1048" t="s">
        <v>49</v>
      </c>
      <c r="K1048" s="9">
        <v>28</v>
      </c>
      <c r="L1048" s="10">
        <f>IFERROR(VLOOKUP(C1048,Parâmetros!$A$5:$D$7,IF(D1048="Mensal",2,IF(D1048="Trimestral",3,4)),0),0)</f>
        <v>14.99</v>
      </c>
      <c r="M1048" s="10">
        <f>IF(G1048="Sim",VLOOKUP("EA Play",Parâmetros!$A$11:$B$13,2,0),0)*K1048</f>
        <v>0</v>
      </c>
      <c r="N1048" s="10">
        <f>IF(H1048="Sim",VLOOKUP("Minecraft Pass",Parâmetros!$A$11:$B$13,2,0),0)*K1048</f>
        <v>111.72</v>
      </c>
      <c r="O1048" s="10">
        <f>IF(I1048="Sim",VLOOKUP("Call of Duty Pass",Parâmetros!$A$11:$B$13,2,0),0)*K1048</f>
        <v>0</v>
      </c>
      <c r="P1048" s="10">
        <f>(L1048*K1048+M1048+N1048+O1048)*IF(F1048="Promoção",1-Parâmetros!$B$22,1)</f>
        <v>531.44000000000005</v>
      </c>
      <c r="Q1048" s="10">
        <f>Parâmetros!$B$20*K1048</f>
        <v>336</v>
      </c>
      <c r="R1048" s="10">
        <f>P1048-Q1048</f>
        <v>195.44000000000005</v>
      </c>
    </row>
    <row r="1049" spans="1:18">
      <c r="A1049">
        <v>1048</v>
      </c>
      <c r="B1049" s="8">
        <v>45854</v>
      </c>
      <c r="C1049" t="s">
        <v>6</v>
      </c>
      <c r="D1049" t="s">
        <v>46</v>
      </c>
      <c r="E1049" t="s">
        <v>55</v>
      </c>
      <c r="F1049" t="s">
        <v>54</v>
      </c>
      <c r="G1049" t="s">
        <v>43</v>
      </c>
      <c r="H1049" t="s">
        <v>43</v>
      </c>
      <c r="I1049" t="s">
        <v>44</v>
      </c>
      <c r="J1049" t="s">
        <v>49</v>
      </c>
      <c r="K1049" s="9">
        <v>15</v>
      </c>
      <c r="L1049" s="10">
        <f>IFERROR(VLOOKUP(C1049,Parâmetros!$A$5:$D$7,IF(D1049="Mensal",2,IF(D1049="Trimestral",3,4)),0),0)</f>
        <v>9.99</v>
      </c>
      <c r="M1049" s="10">
        <f>IF(G1049="Sim",VLOOKUP("EA Play",Parâmetros!$A$11:$B$13,2,0),0)*K1049</f>
        <v>74.850000000000009</v>
      </c>
      <c r="N1049" s="10">
        <f>IF(H1049="Sim",VLOOKUP("Minecraft Pass",Parâmetros!$A$11:$B$13,2,0),0)*K1049</f>
        <v>59.85</v>
      </c>
      <c r="O1049" s="10">
        <f>IF(I1049="Sim",VLOOKUP("Call of Duty Pass",Parâmetros!$A$11:$B$13,2,0),0)*K1049</f>
        <v>0</v>
      </c>
      <c r="P1049" s="10">
        <f>(L1049*K1049+M1049+N1049+O1049)*IF(F1049="Promoção",1-Parâmetros!$B$22,1)</f>
        <v>256.09500000000003</v>
      </c>
      <c r="Q1049" s="10">
        <f>Parâmetros!$B$20*K1049</f>
        <v>180</v>
      </c>
      <c r="R1049" s="10">
        <f>P1049-Q1049</f>
        <v>76.095000000000027</v>
      </c>
    </row>
    <row r="1050" spans="1:18">
      <c r="A1050">
        <v>1049</v>
      </c>
      <c r="B1050" s="8">
        <v>45386</v>
      </c>
      <c r="C1050" t="s">
        <v>7</v>
      </c>
      <c r="D1050" t="s">
        <v>46</v>
      </c>
      <c r="E1050" t="s">
        <v>51</v>
      </c>
      <c r="F1050" t="s">
        <v>54</v>
      </c>
      <c r="G1050" t="s">
        <v>44</v>
      </c>
      <c r="H1050" t="s">
        <v>44</v>
      </c>
      <c r="I1050" t="s">
        <v>44</v>
      </c>
      <c r="J1050" t="s">
        <v>49</v>
      </c>
      <c r="K1050" s="9">
        <v>16</v>
      </c>
      <c r="L1050" s="10">
        <f>IFERROR(VLOOKUP(C1050,Parâmetros!$A$5:$D$7,IF(D1050="Mensal",2,IF(D1050="Trimestral",3,4)),0),0)</f>
        <v>14.99</v>
      </c>
      <c r="M1050" s="10">
        <f>IF(G1050="Sim",VLOOKUP("EA Play",Parâmetros!$A$11:$B$13,2,0),0)*K1050</f>
        <v>0</v>
      </c>
      <c r="N1050" s="10">
        <f>IF(H1050="Sim",VLOOKUP("Minecraft Pass",Parâmetros!$A$11:$B$13,2,0),0)*K1050</f>
        <v>0</v>
      </c>
      <c r="O1050" s="10">
        <f>IF(I1050="Sim",VLOOKUP("Call of Duty Pass",Parâmetros!$A$11:$B$13,2,0),0)*K1050</f>
        <v>0</v>
      </c>
      <c r="P1050" s="10">
        <f>(L1050*K1050+M1050+N1050+O1050)*IF(F1050="Promoção",1-Parâmetros!$B$22,1)</f>
        <v>215.85599999999999</v>
      </c>
      <c r="Q1050" s="10">
        <f>Parâmetros!$B$20*K1050</f>
        <v>192</v>
      </c>
      <c r="R1050" s="10">
        <f>P1050-Q1050</f>
        <v>23.855999999999995</v>
      </c>
    </row>
    <row r="1051" spans="1:18">
      <c r="A1051">
        <v>1050</v>
      </c>
      <c r="B1051" s="8">
        <v>45350</v>
      </c>
      <c r="C1051" t="s">
        <v>6</v>
      </c>
      <c r="D1051" t="s">
        <v>46</v>
      </c>
      <c r="E1051" t="s">
        <v>41</v>
      </c>
      <c r="F1051" t="s">
        <v>42</v>
      </c>
      <c r="G1051" t="s">
        <v>43</v>
      </c>
      <c r="H1051" t="s">
        <v>44</v>
      </c>
      <c r="I1051" t="s">
        <v>43</v>
      </c>
      <c r="J1051" t="s">
        <v>49</v>
      </c>
      <c r="K1051" s="9">
        <v>26</v>
      </c>
      <c r="L1051" s="10">
        <f>IFERROR(VLOOKUP(C1051,Parâmetros!$A$5:$D$7,IF(D1051="Mensal",2,IF(D1051="Trimestral",3,4)),0),0)</f>
        <v>9.99</v>
      </c>
      <c r="M1051" s="10">
        <f>IF(G1051="Sim",VLOOKUP("EA Play",Parâmetros!$A$11:$B$13,2,0),0)*K1051</f>
        <v>129.74</v>
      </c>
      <c r="N1051" s="10">
        <f>IF(H1051="Sim",VLOOKUP("Minecraft Pass",Parâmetros!$A$11:$B$13,2,0),0)*K1051</f>
        <v>0</v>
      </c>
      <c r="O1051" s="10">
        <f>IF(I1051="Sim",VLOOKUP("Call of Duty Pass",Parâmetros!$A$11:$B$13,2,0),0)*K1051</f>
        <v>181.74</v>
      </c>
      <c r="P1051" s="10">
        <f>(L1051*K1051+M1051+N1051+O1051)*IF(F1051="Promoção",1-Parâmetros!$B$22,1)</f>
        <v>571.22</v>
      </c>
      <c r="Q1051" s="10">
        <f>Parâmetros!$B$20*K1051</f>
        <v>312</v>
      </c>
      <c r="R1051" s="10">
        <f>P1051-Q1051</f>
        <v>259.22000000000003</v>
      </c>
    </row>
    <row r="1052" spans="1:18">
      <c r="A1052">
        <v>1051</v>
      </c>
      <c r="B1052" s="8">
        <v>45782</v>
      </c>
      <c r="C1052" t="s">
        <v>7</v>
      </c>
      <c r="D1052" t="s">
        <v>40</v>
      </c>
      <c r="E1052" t="s">
        <v>41</v>
      </c>
      <c r="F1052" t="s">
        <v>54</v>
      </c>
      <c r="G1052" t="s">
        <v>43</v>
      </c>
      <c r="H1052" t="s">
        <v>44</v>
      </c>
      <c r="I1052" t="s">
        <v>44</v>
      </c>
      <c r="J1052" t="s">
        <v>45</v>
      </c>
      <c r="K1052" s="9">
        <v>15</v>
      </c>
      <c r="L1052" s="10">
        <f>IFERROR(VLOOKUP(C1052,Parâmetros!$A$5:$D$7,IF(D1052="Mensal",2,IF(D1052="Trimestral",3,4)),0),0)</f>
        <v>40</v>
      </c>
      <c r="M1052" s="10">
        <f>IF(G1052="Sim",VLOOKUP("EA Play",Parâmetros!$A$11:$B$13,2,0),0)*K1052</f>
        <v>74.850000000000009</v>
      </c>
      <c r="N1052" s="10">
        <f>IF(H1052="Sim",VLOOKUP("Minecraft Pass",Parâmetros!$A$11:$B$13,2,0),0)*K1052</f>
        <v>0</v>
      </c>
      <c r="O1052" s="10">
        <f>IF(I1052="Sim",VLOOKUP("Call of Duty Pass",Parâmetros!$A$11:$B$13,2,0),0)*K1052</f>
        <v>0</v>
      </c>
      <c r="P1052" s="10">
        <f>(L1052*K1052+M1052+N1052+O1052)*IF(F1052="Promoção",1-Parâmetros!$B$22,1)</f>
        <v>607.36500000000001</v>
      </c>
      <c r="Q1052" s="10">
        <f>Parâmetros!$B$20*K1052</f>
        <v>180</v>
      </c>
      <c r="R1052" s="10">
        <f>P1052-Q1052</f>
        <v>427.36500000000001</v>
      </c>
    </row>
    <row r="1053" spans="1:18">
      <c r="A1053">
        <v>1052</v>
      </c>
      <c r="B1053" s="8">
        <v>45746</v>
      </c>
      <c r="C1053" t="s">
        <v>7</v>
      </c>
      <c r="D1053" t="s">
        <v>50</v>
      </c>
      <c r="E1053" t="s">
        <v>51</v>
      </c>
      <c r="F1053" t="s">
        <v>42</v>
      </c>
      <c r="G1053" t="s">
        <v>44</v>
      </c>
      <c r="H1053" t="s">
        <v>44</v>
      </c>
      <c r="I1053" t="s">
        <v>43</v>
      </c>
      <c r="J1053" t="s">
        <v>45</v>
      </c>
      <c r="K1053" s="9">
        <v>33</v>
      </c>
      <c r="L1053" s="10">
        <f>IFERROR(VLOOKUP(C1053,Parâmetros!$A$5:$D$7,IF(D1053="Mensal",2,IF(D1053="Trimestral",3,4)),0),0)</f>
        <v>149</v>
      </c>
      <c r="M1053" s="10">
        <f>IF(G1053="Sim",VLOOKUP("EA Play",Parâmetros!$A$11:$B$13,2,0),0)*K1053</f>
        <v>0</v>
      </c>
      <c r="N1053" s="10">
        <f>IF(H1053="Sim",VLOOKUP("Minecraft Pass",Parâmetros!$A$11:$B$13,2,0),0)*K1053</f>
        <v>0</v>
      </c>
      <c r="O1053" s="10">
        <f>IF(I1053="Sim",VLOOKUP("Call of Duty Pass",Parâmetros!$A$11:$B$13,2,0),0)*K1053</f>
        <v>230.67000000000002</v>
      </c>
      <c r="P1053" s="10">
        <f>(L1053*K1053+M1053+N1053+O1053)*IF(F1053="Promoção",1-Parâmetros!$B$22,1)</f>
        <v>5147.67</v>
      </c>
      <c r="Q1053" s="10">
        <f>Parâmetros!$B$20*K1053</f>
        <v>396</v>
      </c>
      <c r="R1053" s="10">
        <f>P1053-Q1053</f>
        <v>4751.67</v>
      </c>
    </row>
    <row r="1054" spans="1:18">
      <c r="A1054">
        <v>1053</v>
      </c>
      <c r="B1054" s="8">
        <v>45398</v>
      </c>
      <c r="C1054" t="s">
        <v>6</v>
      </c>
      <c r="D1054" t="s">
        <v>50</v>
      </c>
      <c r="E1054" t="s">
        <v>51</v>
      </c>
      <c r="F1054" t="s">
        <v>52</v>
      </c>
      <c r="G1054" t="s">
        <v>43</v>
      </c>
      <c r="H1054" t="s">
        <v>43</v>
      </c>
      <c r="I1054" t="s">
        <v>43</v>
      </c>
      <c r="J1054" t="s">
        <v>45</v>
      </c>
      <c r="K1054" s="9">
        <v>15</v>
      </c>
      <c r="L1054" s="10">
        <f>IFERROR(VLOOKUP(C1054,Parâmetros!$A$5:$D$7,IF(D1054="Mensal",2,IF(D1054="Trimestral",3,4)),0),0)</f>
        <v>99</v>
      </c>
      <c r="M1054" s="10">
        <f>IF(G1054="Sim",VLOOKUP("EA Play",Parâmetros!$A$11:$B$13,2,0),0)*K1054</f>
        <v>74.850000000000009</v>
      </c>
      <c r="N1054" s="10">
        <f>IF(H1054="Sim",VLOOKUP("Minecraft Pass",Parâmetros!$A$11:$B$13,2,0),0)*K1054</f>
        <v>59.85</v>
      </c>
      <c r="O1054" s="10">
        <f>IF(I1054="Sim",VLOOKUP("Call of Duty Pass",Parâmetros!$A$11:$B$13,2,0),0)*K1054</f>
        <v>104.85000000000001</v>
      </c>
      <c r="P1054" s="10">
        <f>(L1054*K1054+M1054+N1054+O1054)*IF(F1054="Promoção",1-Parâmetros!$B$22,1)</f>
        <v>1724.5499999999997</v>
      </c>
      <c r="Q1054" s="10">
        <f>Parâmetros!$B$20*K1054</f>
        <v>180</v>
      </c>
      <c r="R1054" s="10">
        <f>P1054-Q1054</f>
        <v>1544.5499999999997</v>
      </c>
    </row>
    <row r="1055" spans="1:18">
      <c r="A1055">
        <v>1054</v>
      </c>
      <c r="B1055" s="8">
        <v>45604</v>
      </c>
      <c r="C1055" t="s">
        <v>7</v>
      </c>
      <c r="D1055" t="s">
        <v>46</v>
      </c>
      <c r="E1055" t="s">
        <v>41</v>
      </c>
      <c r="F1055" t="s">
        <v>54</v>
      </c>
      <c r="G1055" t="s">
        <v>43</v>
      </c>
      <c r="H1055" t="s">
        <v>44</v>
      </c>
      <c r="I1055" t="s">
        <v>44</v>
      </c>
      <c r="J1055" t="s">
        <v>45</v>
      </c>
      <c r="K1055" s="9">
        <v>30</v>
      </c>
      <c r="L1055" s="10">
        <f>IFERROR(VLOOKUP(C1055,Parâmetros!$A$5:$D$7,IF(D1055="Mensal",2,IF(D1055="Trimestral",3,4)),0),0)</f>
        <v>14.99</v>
      </c>
      <c r="M1055" s="10">
        <f>IF(G1055="Sim",VLOOKUP("EA Play",Parâmetros!$A$11:$B$13,2,0),0)*K1055</f>
        <v>149.70000000000002</v>
      </c>
      <c r="N1055" s="10">
        <f>IF(H1055="Sim",VLOOKUP("Minecraft Pass",Parâmetros!$A$11:$B$13,2,0),0)*K1055</f>
        <v>0</v>
      </c>
      <c r="O1055" s="10">
        <f>IF(I1055="Sim",VLOOKUP("Call of Duty Pass",Parâmetros!$A$11:$B$13,2,0),0)*K1055</f>
        <v>0</v>
      </c>
      <c r="P1055" s="10">
        <f>(L1055*K1055+M1055+N1055+O1055)*IF(F1055="Promoção",1-Parâmetros!$B$22,1)</f>
        <v>539.46</v>
      </c>
      <c r="Q1055" s="10">
        <f>Parâmetros!$B$20*K1055</f>
        <v>360</v>
      </c>
      <c r="R1055" s="10">
        <f>P1055-Q1055</f>
        <v>179.46000000000004</v>
      </c>
    </row>
    <row r="1056" spans="1:18">
      <c r="A1056">
        <v>1055</v>
      </c>
      <c r="B1056" s="8">
        <v>45408</v>
      </c>
      <c r="C1056" t="s">
        <v>6</v>
      </c>
      <c r="D1056" t="s">
        <v>50</v>
      </c>
      <c r="E1056" t="s">
        <v>41</v>
      </c>
      <c r="F1056" t="s">
        <v>48</v>
      </c>
      <c r="G1056" t="s">
        <v>43</v>
      </c>
      <c r="H1056" t="s">
        <v>44</v>
      </c>
      <c r="I1056" t="s">
        <v>43</v>
      </c>
      <c r="J1056" t="s">
        <v>45</v>
      </c>
      <c r="K1056" s="9">
        <v>25</v>
      </c>
      <c r="L1056" s="10">
        <f>IFERROR(VLOOKUP(C1056,Parâmetros!$A$5:$D$7,IF(D1056="Mensal",2,IF(D1056="Trimestral",3,4)),0),0)</f>
        <v>99</v>
      </c>
      <c r="M1056" s="10">
        <f>IF(G1056="Sim",VLOOKUP("EA Play",Parâmetros!$A$11:$B$13,2,0),0)*K1056</f>
        <v>124.75</v>
      </c>
      <c r="N1056" s="10">
        <f>IF(H1056="Sim",VLOOKUP("Minecraft Pass",Parâmetros!$A$11:$B$13,2,0),0)*K1056</f>
        <v>0</v>
      </c>
      <c r="O1056" s="10">
        <f>IF(I1056="Sim",VLOOKUP("Call of Duty Pass",Parâmetros!$A$11:$B$13,2,0),0)*K1056</f>
        <v>174.75</v>
      </c>
      <c r="P1056" s="10">
        <f>(L1056*K1056+M1056+N1056+O1056)*IF(F1056="Promoção",1-Parâmetros!$B$22,1)</f>
        <v>2774.5</v>
      </c>
      <c r="Q1056" s="10">
        <f>Parâmetros!$B$20*K1056</f>
        <v>300</v>
      </c>
      <c r="R1056" s="10">
        <f>P1056-Q1056</f>
        <v>2474.5</v>
      </c>
    </row>
    <row r="1057" spans="1:18">
      <c r="A1057">
        <v>1056</v>
      </c>
      <c r="B1057" s="8">
        <v>45799</v>
      </c>
      <c r="C1057" t="s">
        <v>6</v>
      </c>
      <c r="D1057" t="s">
        <v>46</v>
      </c>
      <c r="E1057" t="s">
        <v>47</v>
      </c>
      <c r="F1057" t="s">
        <v>42</v>
      </c>
      <c r="G1057" t="s">
        <v>43</v>
      </c>
      <c r="H1057" t="s">
        <v>44</v>
      </c>
      <c r="I1057" t="s">
        <v>44</v>
      </c>
      <c r="J1057" t="s">
        <v>45</v>
      </c>
      <c r="K1057" s="9">
        <v>3</v>
      </c>
      <c r="L1057" s="10">
        <f>IFERROR(VLOOKUP(C1057,Parâmetros!$A$5:$D$7,IF(D1057="Mensal",2,IF(D1057="Trimestral",3,4)),0),0)</f>
        <v>9.99</v>
      </c>
      <c r="M1057" s="10">
        <f>IF(G1057="Sim",VLOOKUP("EA Play",Parâmetros!$A$11:$B$13,2,0),0)*K1057</f>
        <v>14.97</v>
      </c>
      <c r="N1057" s="10">
        <f>IF(H1057="Sim",VLOOKUP("Minecraft Pass",Parâmetros!$A$11:$B$13,2,0),0)*K1057</f>
        <v>0</v>
      </c>
      <c r="O1057" s="10">
        <f>IF(I1057="Sim",VLOOKUP("Call of Duty Pass",Parâmetros!$A$11:$B$13,2,0),0)*K1057</f>
        <v>0</v>
      </c>
      <c r="P1057" s="10">
        <f>(L1057*K1057+M1057+N1057+O1057)*IF(F1057="Promoção",1-Parâmetros!$B$22,1)</f>
        <v>44.94</v>
      </c>
      <c r="Q1057" s="10">
        <f>Parâmetros!$B$20*K1057</f>
        <v>36</v>
      </c>
      <c r="R1057" s="10">
        <f>P1057-Q1057</f>
        <v>8.9399999999999977</v>
      </c>
    </row>
    <row r="1058" spans="1:18">
      <c r="A1058">
        <v>1057</v>
      </c>
      <c r="B1058" s="8">
        <v>45846</v>
      </c>
      <c r="C1058" t="s">
        <v>8</v>
      </c>
      <c r="D1058" t="s">
        <v>50</v>
      </c>
      <c r="E1058" t="s">
        <v>55</v>
      </c>
      <c r="F1058" t="s">
        <v>52</v>
      </c>
      <c r="G1058" t="s">
        <v>43</v>
      </c>
      <c r="H1058" t="s">
        <v>44</v>
      </c>
      <c r="I1058" t="s">
        <v>43</v>
      </c>
      <c r="J1058" t="s">
        <v>45</v>
      </c>
      <c r="K1058" s="9">
        <v>14</v>
      </c>
      <c r="L1058" s="10">
        <f>IFERROR(VLOOKUP(C1058,Parâmetros!$A$5:$D$7,IF(D1058="Mensal",2,IF(D1058="Trimestral",3,4)),0),0)</f>
        <v>219</v>
      </c>
      <c r="M1058" s="10">
        <f>IF(G1058="Sim",VLOOKUP("EA Play",Parâmetros!$A$11:$B$13,2,0),0)*K1058</f>
        <v>69.86</v>
      </c>
      <c r="N1058" s="10">
        <f>IF(H1058="Sim",VLOOKUP("Minecraft Pass",Parâmetros!$A$11:$B$13,2,0),0)*K1058</f>
        <v>0</v>
      </c>
      <c r="O1058" s="10">
        <f>IF(I1058="Sim",VLOOKUP("Call of Duty Pass",Parâmetros!$A$11:$B$13,2,0),0)*K1058</f>
        <v>97.86</v>
      </c>
      <c r="P1058" s="10">
        <f>(L1058*K1058+M1058+N1058+O1058)*IF(F1058="Promoção",1-Parâmetros!$B$22,1)</f>
        <v>3233.7200000000003</v>
      </c>
      <c r="Q1058" s="10">
        <f>Parâmetros!$B$20*K1058</f>
        <v>168</v>
      </c>
      <c r="R1058" s="10">
        <f>P1058-Q1058</f>
        <v>3065.7200000000003</v>
      </c>
    </row>
    <row r="1059" spans="1:18">
      <c r="A1059">
        <v>1058</v>
      </c>
      <c r="B1059" s="8">
        <v>45320</v>
      </c>
      <c r="C1059" t="s">
        <v>6</v>
      </c>
      <c r="D1059" t="s">
        <v>50</v>
      </c>
      <c r="E1059" t="s">
        <v>47</v>
      </c>
      <c r="F1059" t="s">
        <v>48</v>
      </c>
      <c r="G1059" t="s">
        <v>44</v>
      </c>
      <c r="H1059" t="s">
        <v>44</v>
      </c>
      <c r="I1059" t="s">
        <v>43</v>
      </c>
      <c r="J1059" t="s">
        <v>49</v>
      </c>
      <c r="K1059" s="9">
        <v>25</v>
      </c>
      <c r="L1059" s="10">
        <f>IFERROR(VLOOKUP(C1059,Parâmetros!$A$5:$D$7,IF(D1059="Mensal",2,IF(D1059="Trimestral",3,4)),0),0)</f>
        <v>99</v>
      </c>
      <c r="M1059" s="10">
        <f>IF(G1059="Sim",VLOOKUP("EA Play",Parâmetros!$A$11:$B$13,2,0),0)*K1059</f>
        <v>0</v>
      </c>
      <c r="N1059" s="10">
        <f>IF(H1059="Sim",VLOOKUP("Minecraft Pass",Parâmetros!$A$11:$B$13,2,0),0)*K1059</f>
        <v>0</v>
      </c>
      <c r="O1059" s="10">
        <f>IF(I1059="Sim",VLOOKUP("Call of Duty Pass",Parâmetros!$A$11:$B$13,2,0),0)*K1059</f>
        <v>174.75</v>
      </c>
      <c r="P1059" s="10">
        <f>(L1059*K1059+M1059+N1059+O1059)*IF(F1059="Promoção",1-Parâmetros!$B$22,1)</f>
        <v>2649.75</v>
      </c>
      <c r="Q1059" s="10">
        <f>Parâmetros!$B$20*K1059</f>
        <v>300</v>
      </c>
      <c r="R1059" s="10">
        <f>P1059-Q1059</f>
        <v>2349.75</v>
      </c>
    </row>
    <row r="1060" spans="1:18">
      <c r="A1060">
        <v>1059</v>
      </c>
      <c r="B1060" s="8">
        <v>45986</v>
      </c>
      <c r="C1060" t="s">
        <v>6</v>
      </c>
      <c r="D1060" t="s">
        <v>50</v>
      </c>
      <c r="E1060" t="s">
        <v>47</v>
      </c>
      <c r="F1060" t="s">
        <v>48</v>
      </c>
      <c r="G1060" t="s">
        <v>44</v>
      </c>
      <c r="H1060" t="s">
        <v>44</v>
      </c>
      <c r="I1060" t="s">
        <v>43</v>
      </c>
      <c r="J1060" t="s">
        <v>45</v>
      </c>
      <c r="K1060" s="9">
        <v>30</v>
      </c>
      <c r="L1060" s="10">
        <f>IFERROR(VLOOKUP(C1060,Parâmetros!$A$5:$D$7,IF(D1060="Mensal",2,IF(D1060="Trimestral",3,4)),0),0)</f>
        <v>99</v>
      </c>
      <c r="M1060" s="10">
        <f>IF(G1060="Sim",VLOOKUP("EA Play",Parâmetros!$A$11:$B$13,2,0),0)*K1060</f>
        <v>0</v>
      </c>
      <c r="N1060" s="10">
        <f>IF(H1060="Sim",VLOOKUP("Minecraft Pass",Parâmetros!$A$11:$B$13,2,0),0)*K1060</f>
        <v>0</v>
      </c>
      <c r="O1060" s="10">
        <f>IF(I1060="Sim",VLOOKUP("Call of Duty Pass",Parâmetros!$A$11:$B$13,2,0),0)*K1060</f>
        <v>209.70000000000002</v>
      </c>
      <c r="P1060" s="10">
        <f>(L1060*K1060+M1060+N1060+O1060)*IF(F1060="Promoção",1-Parâmetros!$B$22,1)</f>
        <v>3179.7</v>
      </c>
      <c r="Q1060" s="10">
        <f>Parâmetros!$B$20*K1060</f>
        <v>360</v>
      </c>
      <c r="R1060" s="10">
        <f>P1060-Q1060</f>
        <v>2819.7</v>
      </c>
    </row>
    <row r="1061" spans="1:18">
      <c r="A1061">
        <v>1060</v>
      </c>
      <c r="B1061" s="8">
        <v>45535</v>
      </c>
      <c r="C1061" t="s">
        <v>6</v>
      </c>
      <c r="D1061" t="s">
        <v>46</v>
      </c>
      <c r="E1061" t="s">
        <v>51</v>
      </c>
      <c r="F1061" t="s">
        <v>54</v>
      </c>
      <c r="G1061" t="s">
        <v>43</v>
      </c>
      <c r="H1061" t="s">
        <v>43</v>
      </c>
      <c r="I1061" t="s">
        <v>44</v>
      </c>
      <c r="J1061" t="s">
        <v>49</v>
      </c>
      <c r="K1061" s="9">
        <v>26</v>
      </c>
      <c r="L1061" s="10">
        <f>IFERROR(VLOOKUP(C1061,Parâmetros!$A$5:$D$7,IF(D1061="Mensal",2,IF(D1061="Trimestral",3,4)),0),0)</f>
        <v>9.99</v>
      </c>
      <c r="M1061" s="10">
        <f>IF(G1061="Sim",VLOOKUP("EA Play",Parâmetros!$A$11:$B$13,2,0),0)*K1061</f>
        <v>129.74</v>
      </c>
      <c r="N1061" s="10">
        <f>IF(H1061="Sim",VLOOKUP("Minecraft Pass",Parâmetros!$A$11:$B$13,2,0),0)*K1061</f>
        <v>103.74000000000001</v>
      </c>
      <c r="O1061" s="10">
        <f>IF(I1061="Sim",VLOOKUP("Call of Duty Pass",Parâmetros!$A$11:$B$13,2,0),0)*K1061</f>
        <v>0</v>
      </c>
      <c r="P1061" s="10">
        <f>(L1061*K1061+M1061+N1061+O1061)*IF(F1061="Promoção",1-Parâmetros!$B$22,1)</f>
        <v>443.89800000000002</v>
      </c>
      <c r="Q1061" s="10">
        <f>Parâmetros!$B$20*K1061</f>
        <v>312</v>
      </c>
      <c r="R1061" s="10">
        <f>P1061-Q1061</f>
        <v>131.89800000000002</v>
      </c>
    </row>
    <row r="1062" spans="1:18">
      <c r="A1062">
        <v>1061</v>
      </c>
      <c r="B1062" s="8">
        <v>45331</v>
      </c>
      <c r="C1062" t="s">
        <v>7</v>
      </c>
      <c r="D1062" t="s">
        <v>46</v>
      </c>
      <c r="E1062" t="s">
        <v>51</v>
      </c>
      <c r="F1062" t="s">
        <v>52</v>
      </c>
      <c r="G1062" t="s">
        <v>44</v>
      </c>
      <c r="H1062" t="s">
        <v>44</v>
      </c>
      <c r="I1062" t="s">
        <v>43</v>
      </c>
      <c r="J1062" t="s">
        <v>45</v>
      </c>
      <c r="K1062" s="9">
        <v>21</v>
      </c>
      <c r="L1062" s="10">
        <f>IFERROR(VLOOKUP(C1062,Parâmetros!$A$5:$D$7,IF(D1062="Mensal",2,IF(D1062="Trimestral",3,4)),0),0)</f>
        <v>14.99</v>
      </c>
      <c r="M1062" s="10">
        <f>IF(G1062="Sim",VLOOKUP("EA Play",Parâmetros!$A$11:$B$13,2,0),0)*K1062</f>
        <v>0</v>
      </c>
      <c r="N1062" s="10">
        <f>IF(H1062="Sim",VLOOKUP("Minecraft Pass",Parâmetros!$A$11:$B$13,2,0),0)*K1062</f>
        <v>0</v>
      </c>
      <c r="O1062" s="10">
        <f>IF(I1062="Sim",VLOOKUP("Call of Duty Pass",Parâmetros!$A$11:$B$13,2,0),0)*K1062</f>
        <v>146.79</v>
      </c>
      <c r="P1062" s="10">
        <f>(L1062*K1062+M1062+N1062+O1062)*IF(F1062="Promoção",1-Parâmetros!$B$22,1)</f>
        <v>461.58000000000004</v>
      </c>
      <c r="Q1062" s="10">
        <f>Parâmetros!$B$20*K1062</f>
        <v>252</v>
      </c>
      <c r="R1062" s="10">
        <f>P1062-Q1062</f>
        <v>209.58000000000004</v>
      </c>
    </row>
    <row r="1063" spans="1:18">
      <c r="A1063">
        <v>1062</v>
      </c>
      <c r="B1063" s="8">
        <v>45562</v>
      </c>
      <c r="C1063" t="s">
        <v>8</v>
      </c>
      <c r="D1063" t="s">
        <v>46</v>
      </c>
      <c r="E1063" t="s">
        <v>41</v>
      </c>
      <c r="F1063" t="s">
        <v>42</v>
      </c>
      <c r="G1063" t="s">
        <v>43</v>
      </c>
      <c r="H1063" t="s">
        <v>43</v>
      </c>
      <c r="I1063" t="s">
        <v>44</v>
      </c>
      <c r="J1063" t="s">
        <v>45</v>
      </c>
      <c r="K1063" s="9">
        <v>27</v>
      </c>
      <c r="L1063" s="10">
        <f>IFERROR(VLOOKUP(C1063,Parâmetros!$A$5:$D$7,IF(D1063="Mensal",2,IF(D1063="Trimestral",3,4)),0),0)</f>
        <v>21.99</v>
      </c>
      <c r="M1063" s="10">
        <f>IF(G1063="Sim",VLOOKUP("EA Play",Parâmetros!$A$11:$B$13,2,0),0)*K1063</f>
        <v>134.73000000000002</v>
      </c>
      <c r="N1063" s="10">
        <f>IF(H1063="Sim",VLOOKUP("Minecraft Pass",Parâmetros!$A$11:$B$13,2,0),0)*K1063</f>
        <v>107.73</v>
      </c>
      <c r="O1063" s="10">
        <f>IF(I1063="Sim",VLOOKUP("Call of Duty Pass",Parâmetros!$A$11:$B$13,2,0),0)*K1063</f>
        <v>0</v>
      </c>
      <c r="P1063" s="10">
        <f>(L1063*K1063+M1063+N1063+O1063)*IF(F1063="Promoção",1-Parâmetros!$B$22,1)</f>
        <v>836.18999999999994</v>
      </c>
      <c r="Q1063" s="10">
        <f>Parâmetros!$B$20*K1063</f>
        <v>324</v>
      </c>
      <c r="R1063" s="10">
        <f>P1063-Q1063</f>
        <v>512.18999999999994</v>
      </c>
    </row>
    <row r="1064" spans="1:18">
      <c r="A1064">
        <v>1063</v>
      </c>
      <c r="B1064" s="8">
        <v>45351</v>
      </c>
      <c r="C1064" t="s">
        <v>7</v>
      </c>
      <c r="D1064" t="s">
        <v>46</v>
      </c>
      <c r="E1064" t="s">
        <v>55</v>
      </c>
      <c r="F1064" t="s">
        <v>48</v>
      </c>
      <c r="G1064" t="s">
        <v>44</v>
      </c>
      <c r="H1064" t="s">
        <v>44</v>
      </c>
      <c r="I1064" t="s">
        <v>43</v>
      </c>
      <c r="J1064" t="s">
        <v>45</v>
      </c>
      <c r="K1064" s="9">
        <v>17</v>
      </c>
      <c r="L1064" s="10">
        <f>IFERROR(VLOOKUP(C1064,Parâmetros!$A$5:$D$7,IF(D1064="Mensal",2,IF(D1064="Trimestral",3,4)),0),0)</f>
        <v>14.99</v>
      </c>
      <c r="M1064" s="10">
        <f>IF(G1064="Sim",VLOOKUP("EA Play",Parâmetros!$A$11:$B$13,2,0),0)*K1064</f>
        <v>0</v>
      </c>
      <c r="N1064" s="10">
        <f>IF(H1064="Sim",VLOOKUP("Minecraft Pass",Parâmetros!$A$11:$B$13,2,0),0)*K1064</f>
        <v>0</v>
      </c>
      <c r="O1064" s="10">
        <f>IF(I1064="Sim",VLOOKUP("Call of Duty Pass",Parâmetros!$A$11:$B$13,2,0),0)*K1064</f>
        <v>118.83</v>
      </c>
      <c r="P1064" s="10">
        <f>(L1064*K1064+M1064+N1064+O1064)*IF(F1064="Promoção",1-Parâmetros!$B$22,1)</f>
        <v>373.66</v>
      </c>
      <c r="Q1064" s="10">
        <f>Parâmetros!$B$20*K1064</f>
        <v>204</v>
      </c>
      <c r="R1064" s="10">
        <f>P1064-Q1064</f>
        <v>169.66000000000003</v>
      </c>
    </row>
    <row r="1065" spans="1:18">
      <c r="A1065">
        <v>1064</v>
      </c>
      <c r="B1065" s="8">
        <v>45798</v>
      </c>
      <c r="C1065" t="s">
        <v>6</v>
      </c>
      <c r="D1065" t="s">
        <v>40</v>
      </c>
      <c r="E1065" t="s">
        <v>41</v>
      </c>
      <c r="F1065" t="s">
        <v>52</v>
      </c>
      <c r="G1065" t="s">
        <v>43</v>
      </c>
      <c r="H1065" t="s">
        <v>43</v>
      </c>
      <c r="I1065" t="s">
        <v>43</v>
      </c>
      <c r="J1065" t="s">
        <v>45</v>
      </c>
      <c r="K1065" s="9">
        <v>29</v>
      </c>
      <c r="L1065" s="10">
        <f>IFERROR(VLOOKUP(C1065,Parâmetros!$A$5:$D$7,IF(D1065="Mensal",2,IF(D1065="Trimestral",3,4)),0),0)</f>
        <v>27</v>
      </c>
      <c r="M1065" s="10">
        <f>IF(G1065="Sim",VLOOKUP("EA Play",Parâmetros!$A$11:$B$13,2,0),0)*K1065</f>
        <v>144.71</v>
      </c>
      <c r="N1065" s="10">
        <f>IF(H1065="Sim",VLOOKUP("Minecraft Pass",Parâmetros!$A$11:$B$13,2,0),0)*K1065</f>
        <v>115.71000000000001</v>
      </c>
      <c r="O1065" s="10">
        <f>IF(I1065="Sim",VLOOKUP("Call of Duty Pass",Parâmetros!$A$11:$B$13,2,0),0)*K1065</f>
        <v>202.71</v>
      </c>
      <c r="P1065" s="10">
        <f>(L1065*K1065+M1065+N1065+O1065)*IF(F1065="Promoção",1-Parâmetros!$B$22,1)</f>
        <v>1246.1300000000001</v>
      </c>
      <c r="Q1065" s="10">
        <f>Parâmetros!$B$20*K1065</f>
        <v>348</v>
      </c>
      <c r="R1065" s="10">
        <f>P1065-Q1065</f>
        <v>898.13000000000011</v>
      </c>
    </row>
    <row r="1066" spans="1:18">
      <c r="A1066">
        <v>1065</v>
      </c>
      <c r="B1066" s="8">
        <v>45885</v>
      </c>
      <c r="C1066" t="s">
        <v>6</v>
      </c>
      <c r="D1066" t="s">
        <v>40</v>
      </c>
      <c r="E1066" t="s">
        <v>41</v>
      </c>
      <c r="F1066" t="s">
        <v>54</v>
      </c>
      <c r="G1066" t="s">
        <v>44</v>
      </c>
      <c r="H1066" t="s">
        <v>44</v>
      </c>
      <c r="I1066" t="s">
        <v>43</v>
      </c>
      <c r="J1066" t="s">
        <v>45</v>
      </c>
      <c r="K1066" s="9">
        <v>23</v>
      </c>
      <c r="L1066" s="10">
        <f>IFERROR(VLOOKUP(C1066,Parâmetros!$A$5:$D$7,IF(D1066="Mensal",2,IF(D1066="Trimestral",3,4)),0),0)</f>
        <v>27</v>
      </c>
      <c r="M1066" s="10">
        <f>IF(G1066="Sim",VLOOKUP("EA Play",Parâmetros!$A$11:$B$13,2,0),0)*K1066</f>
        <v>0</v>
      </c>
      <c r="N1066" s="10">
        <f>IF(H1066="Sim",VLOOKUP("Minecraft Pass",Parâmetros!$A$11:$B$13,2,0),0)*K1066</f>
        <v>0</v>
      </c>
      <c r="O1066" s="10">
        <f>IF(I1066="Sim",VLOOKUP("Call of Duty Pass",Parâmetros!$A$11:$B$13,2,0),0)*K1066</f>
        <v>160.77000000000001</v>
      </c>
      <c r="P1066" s="10">
        <f>(L1066*K1066+M1066+N1066+O1066)*IF(F1066="Promoção",1-Parâmetros!$B$22,1)</f>
        <v>703.59299999999996</v>
      </c>
      <c r="Q1066" s="10">
        <f>Parâmetros!$B$20*K1066</f>
        <v>276</v>
      </c>
      <c r="R1066" s="10">
        <f>P1066-Q1066</f>
        <v>427.59299999999996</v>
      </c>
    </row>
    <row r="1067" spans="1:18">
      <c r="A1067">
        <v>1066</v>
      </c>
      <c r="B1067" s="8">
        <v>45845</v>
      </c>
      <c r="C1067" t="s">
        <v>7</v>
      </c>
      <c r="D1067" t="s">
        <v>40</v>
      </c>
      <c r="E1067" t="s">
        <v>41</v>
      </c>
      <c r="F1067" t="s">
        <v>42</v>
      </c>
      <c r="G1067" t="s">
        <v>43</v>
      </c>
      <c r="H1067" t="s">
        <v>44</v>
      </c>
      <c r="I1067" t="s">
        <v>43</v>
      </c>
      <c r="J1067" t="s">
        <v>49</v>
      </c>
      <c r="K1067" s="9">
        <v>24</v>
      </c>
      <c r="L1067" s="10">
        <f>IFERROR(VLOOKUP(C1067,Parâmetros!$A$5:$D$7,IF(D1067="Mensal",2,IF(D1067="Trimestral",3,4)),0),0)</f>
        <v>40</v>
      </c>
      <c r="M1067" s="10">
        <f>IF(G1067="Sim",VLOOKUP("EA Play",Parâmetros!$A$11:$B$13,2,0),0)*K1067</f>
        <v>119.76</v>
      </c>
      <c r="N1067" s="10">
        <f>IF(H1067="Sim",VLOOKUP("Minecraft Pass",Parâmetros!$A$11:$B$13,2,0),0)*K1067</f>
        <v>0</v>
      </c>
      <c r="O1067" s="10">
        <f>IF(I1067="Sim",VLOOKUP("Call of Duty Pass",Parâmetros!$A$11:$B$13,2,0),0)*K1067</f>
        <v>167.76</v>
      </c>
      <c r="P1067" s="10">
        <f>(L1067*K1067+M1067+N1067+O1067)*IF(F1067="Promoção",1-Parâmetros!$B$22,1)</f>
        <v>1247.52</v>
      </c>
      <c r="Q1067" s="10">
        <f>Parâmetros!$B$20*K1067</f>
        <v>288</v>
      </c>
      <c r="R1067" s="10">
        <f>P1067-Q1067</f>
        <v>959.52</v>
      </c>
    </row>
    <row r="1068" spans="1:18">
      <c r="A1068">
        <v>1067</v>
      </c>
      <c r="B1068" s="8">
        <v>45989</v>
      </c>
      <c r="C1068" t="s">
        <v>7</v>
      </c>
      <c r="D1068" t="s">
        <v>40</v>
      </c>
      <c r="E1068" t="s">
        <v>55</v>
      </c>
      <c r="F1068" t="s">
        <v>42</v>
      </c>
      <c r="G1068" t="s">
        <v>43</v>
      </c>
      <c r="H1068" t="s">
        <v>44</v>
      </c>
      <c r="I1068" t="s">
        <v>44</v>
      </c>
      <c r="J1068" t="s">
        <v>49</v>
      </c>
      <c r="K1068" s="9">
        <v>24</v>
      </c>
      <c r="L1068" s="10">
        <f>IFERROR(VLOOKUP(C1068,Parâmetros!$A$5:$D$7,IF(D1068="Mensal",2,IF(D1068="Trimestral",3,4)),0),0)</f>
        <v>40</v>
      </c>
      <c r="M1068" s="10">
        <f>IF(G1068="Sim",VLOOKUP("EA Play",Parâmetros!$A$11:$B$13,2,0),0)*K1068</f>
        <v>119.76</v>
      </c>
      <c r="N1068" s="10">
        <f>IF(H1068="Sim",VLOOKUP("Minecraft Pass",Parâmetros!$A$11:$B$13,2,0),0)*K1068</f>
        <v>0</v>
      </c>
      <c r="O1068" s="10">
        <f>IF(I1068="Sim",VLOOKUP("Call of Duty Pass",Parâmetros!$A$11:$B$13,2,0),0)*K1068</f>
        <v>0</v>
      </c>
      <c r="P1068" s="10">
        <f>(L1068*K1068+M1068+N1068+O1068)*IF(F1068="Promoção",1-Parâmetros!$B$22,1)</f>
        <v>1079.76</v>
      </c>
      <c r="Q1068" s="10">
        <f>Parâmetros!$B$20*K1068</f>
        <v>288</v>
      </c>
      <c r="R1068" s="10">
        <f>P1068-Q1068</f>
        <v>791.76</v>
      </c>
    </row>
    <row r="1069" spans="1:18">
      <c r="A1069">
        <v>1068</v>
      </c>
      <c r="B1069" s="8">
        <v>45773</v>
      </c>
      <c r="C1069" t="s">
        <v>8</v>
      </c>
      <c r="D1069" t="s">
        <v>46</v>
      </c>
      <c r="E1069" t="s">
        <v>41</v>
      </c>
      <c r="F1069" t="s">
        <v>42</v>
      </c>
      <c r="G1069" t="s">
        <v>43</v>
      </c>
      <c r="H1069" t="s">
        <v>43</v>
      </c>
      <c r="I1069" t="s">
        <v>44</v>
      </c>
      <c r="J1069" t="s">
        <v>49</v>
      </c>
      <c r="K1069" s="9">
        <v>14</v>
      </c>
      <c r="L1069" s="10">
        <f>IFERROR(VLOOKUP(C1069,Parâmetros!$A$5:$D$7,IF(D1069="Mensal",2,IF(D1069="Trimestral",3,4)),0),0)</f>
        <v>21.99</v>
      </c>
      <c r="M1069" s="10">
        <f>IF(G1069="Sim",VLOOKUP("EA Play",Parâmetros!$A$11:$B$13,2,0),0)*K1069</f>
        <v>69.86</v>
      </c>
      <c r="N1069" s="10">
        <f>IF(H1069="Sim",VLOOKUP("Minecraft Pass",Parâmetros!$A$11:$B$13,2,0),0)*K1069</f>
        <v>55.86</v>
      </c>
      <c r="O1069" s="10">
        <f>IF(I1069="Sim",VLOOKUP("Call of Duty Pass",Parâmetros!$A$11:$B$13,2,0),0)*K1069</f>
        <v>0</v>
      </c>
      <c r="P1069" s="10">
        <f>(L1069*K1069+M1069+N1069+O1069)*IF(F1069="Promoção",1-Parâmetros!$B$22,1)</f>
        <v>433.58</v>
      </c>
      <c r="Q1069" s="10">
        <f>Parâmetros!$B$20*K1069</f>
        <v>168</v>
      </c>
      <c r="R1069" s="10">
        <f>P1069-Q1069</f>
        <v>265.58</v>
      </c>
    </row>
    <row r="1070" spans="1:18">
      <c r="A1070">
        <v>1069</v>
      </c>
      <c r="B1070" s="8">
        <v>45612</v>
      </c>
      <c r="C1070" t="s">
        <v>7</v>
      </c>
      <c r="D1070" t="s">
        <v>40</v>
      </c>
      <c r="E1070" t="s">
        <v>47</v>
      </c>
      <c r="F1070" t="s">
        <v>48</v>
      </c>
      <c r="G1070" t="s">
        <v>43</v>
      </c>
      <c r="H1070" t="s">
        <v>43</v>
      </c>
      <c r="I1070" t="s">
        <v>44</v>
      </c>
      <c r="J1070" t="s">
        <v>49</v>
      </c>
      <c r="K1070" s="9">
        <v>10</v>
      </c>
      <c r="L1070" s="10">
        <f>IFERROR(VLOOKUP(C1070,Parâmetros!$A$5:$D$7,IF(D1070="Mensal",2,IF(D1070="Trimestral",3,4)),0),0)</f>
        <v>40</v>
      </c>
      <c r="M1070" s="10">
        <f>IF(G1070="Sim",VLOOKUP("EA Play",Parâmetros!$A$11:$B$13,2,0),0)*K1070</f>
        <v>49.900000000000006</v>
      </c>
      <c r="N1070" s="10">
        <f>IF(H1070="Sim",VLOOKUP("Minecraft Pass",Parâmetros!$A$11:$B$13,2,0),0)*K1070</f>
        <v>39.900000000000006</v>
      </c>
      <c r="O1070" s="10">
        <f>IF(I1070="Sim",VLOOKUP("Call of Duty Pass",Parâmetros!$A$11:$B$13,2,0),0)*K1070</f>
        <v>0</v>
      </c>
      <c r="P1070" s="10">
        <f>(L1070*K1070+M1070+N1070+O1070)*IF(F1070="Promoção",1-Parâmetros!$B$22,1)</f>
        <v>489.79999999999995</v>
      </c>
      <c r="Q1070" s="10">
        <f>Parâmetros!$B$20*K1070</f>
        <v>120</v>
      </c>
      <c r="R1070" s="10">
        <f>P1070-Q1070</f>
        <v>369.79999999999995</v>
      </c>
    </row>
    <row r="1071" spans="1:18">
      <c r="A1071">
        <v>1070</v>
      </c>
      <c r="B1071" s="8">
        <v>45682</v>
      </c>
      <c r="C1071" t="s">
        <v>8</v>
      </c>
      <c r="D1071" t="s">
        <v>40</v>
      </c>
      <c r="E1071" t="s">
        <v>53</v>
      </c>
      <c r="F1071" t="s">
        <v>54</v>
      </c>
      <c r="G1071" t="s">
        <v>44</v>
      </c>
      <c r="H1071" t="s">
        <v>44</v>
      </c>
      <c r="I1071" t="s">
        <v>44</v>
      </c>
      <c r="J1071" t="s">
        <v>45</v>
      </c>
      <c r="K1071" s="9">
        <v>27</v>
      </c>
      <c r="L1071" s="10">
        <f>IFERROR(VLOOKUP(C1071,Parâmetros!$A$5:$D$7,IF(D1071="Mensal",2,IF(D1071="Trimestral",3,4)),0),0)</f>
        <v>59</v>
      </c>
      <c r="M1071" s="10">
        <f>IF(G1071="Sim",VLOOKUP("EA Play",Parâmetros!$A$11:$B$13,2,0),0)*K1071</f>
        <v>0</v>
      </c>
      <c r="N1071" s="10">
        <f>IF(H1071="Sim",VLOOKUP("Minecraft Pass",Parâmetros!$A$11:$B$13,2,0),0)*K1071</f>
        <v>0</v>
      </c>
      <c r="O1071" s="10">
        <f>IF(I1071="Sim",VLOOKUP("Call of Duty Pass",Parâmetros!$A$11:$B$13,2,0),0)*K1071</f>
        <v>0</v>
      </c>
      <c r="P1071" s="10">
        <f>(L1071*K1071+M1071+N1071+O1071)*IF(F1071="Promoção",1-Parâmetros!$B$22,1)</f>
        <v>1433.7</v>
      </c>
      <c r="Q1071" s="10">
        <f>Parâmetros!$B$20*K1071</f>
        <v>324</v>
      </c>
      <c r="R1071" s="10">
        <f>P1071-Q1071</f>
        <v>1109.7</v>
      </c>
    </row>
    <row r="1072" spans="1:18">
      <c r="A1072">
        <v>1071</v>
      </c>
      <c r="B1072" s="8">
        <v>45843</v>
      </c>
      <c r="C1072" t="s">
        <v>7</v>
      </c>
      <c r="D1072" t="s">
        <v>50</v>
      </c>
      <c r="E1072" t="s">
        <v>47</v>
      </c>
      <c r="F1072" t="s">
        <v>42</v>
      </c>
      <c r="G1072" t="s">
        <v>44</v>
      </c>
      <c r="H1072" t="s">
        <v>44</v>
      </c>
      <c r="I1072" t="s">
        <v>44</v>
      </c>
      <c r="J1072" t="s">
        <v>49</v>
      </c>
      <c r="K1072" s="9">
        <v>19</v>
      </c>
      <c r="L1072" s="10">
        <f>IFERROR(VLOOKUP(C1072,Parâmetros!$A$5:$D$7,IF(D1072="Mensal",2,IF(D1072="Trimestral",3,4)),0),0)</f>
        <v>149</v>
      </c>
      <c r="M1072" s="10">
        <f>IF(G1072="Sim",VLOOKUP("EA Play",Parâmetros!$A$11:$B$13,2,0),0)*K1072</f>
        <v>0</v>
      </c>
      <c r="N1072" s="10">
        <f>IF(H1072="Sim",VLOOKUP("Minecraft Pass",Parâmetros!$A$11:$B$13,2,0),0)*K1072</f>
        <v>0</v>
      </c>
      <c r="O1072" s="10">
        <f>IF(I1072="Sim",VLOOKUP("Call of Duty Pass",Parâmetros!$A$11:$B$13,2,0),0)*K1072</f>
        <v>0</v>
      </c>
      <c r="P1072" s="10">
        <f>(L1072*K1072+M1072+N1072+O1072)*IF(F1072="Promoção",1-Parâmetros!$B$22,1)</f>
        <v>2831</v>
      </c>
      <c r="Q1072" s="10">
        <f>Parâmetros!$B$20*K1072</f>
        <v>228</v>
      </c>
      <c r="R1072" s="10">
        <f>P1072-Q1072</f>
        <v>2603</v>
      </c>
    </row>
    <row r="1073" spans="1:18">
      <c r="A1073">
        <v>1072</v>
      </c>
      <c r="B1073" s="8">
        <v>45541</v>
      </c>
      <c r="C1073" t="s">
        <v>6</v>
      </c>
      <c r="D1073" t="s">
        <v>40</v>
      </c>
      <c r="E1073" t="s">
        <v>53</v>
      </c>
      <c r="F1073" t="s">
        <v>42</v>
      </c>
      <c r="G1073" t="s">
        <v>43</v>
      </c>
      <c r="H1073" t="s">
        <v>44</v>
      </c>
      <c r="I1073" t="s">
        <v>44</v>
      </c>
      <c r="J1073" t="s">
        <v>49</v>
      </c>
      <c r="K1073" s="9">
        <v>27</v>
      </c>
      <c r="L1073" s="10">
        <f>IFERROR(VLOOKUP(C1073,Parâmetros!$A$5:$D$7,IF(D1073="Mensal",2,IF(D1073="Trimestral",3,4)),0),0)</f>
        <v>27</v>
      </c>
      <c r="M1073" s="10">
        <f>IF(G1073="Sim",VLOOKUP("EA Play",Parâmetros!$A$11:$B$13,2,0),0)*K1073</f>
        <v>134.73000000000002</v>
      </c>
      <c r="N1073" s="10">
        <f>IF(H1073="Sim",VLOOKUP("Minecraft Pass",Parâmetros!$A$11:$B$13,2,0),0)*K1073</f>
        <v>0</v>
      </c>
      <c r="O1073" s="10">
        <f>IF(I1073="Sim",VLOOKUP("Call of Duty Pass",Parâmetros!$A$11:$B$13,2,0),0)*K1073</f>
        <v>0</v>
      </c>
      <c r="P1073" s="10">
        <f>(L1073*K1073+M1073+N1073+O1073)*IF(F1073="Promoção",1-Parâmetros!$B$22,1)</f>
        <v>863.73</v>
      </c>
      <c r="Q1073" s="10">
        <f>Parâmetros!$B$20*K1073</f>
        <v>324</v>
      </c>
      <c r="R1073" s="10">
        <f>P1073-Q1073</f>
        <v>539.73</v>
      </c>
    </row>
    <row r="1074" spans="1:18">
      <c r="A1074">
        <v>1073</v>
      </c>
      <c r="B1074" s="8">
        <v>45662</v>
      </c>
      <c r="C1074" t="s">
        <v>6</v>
      </c>
      <c r="D1074" t="s">
        <v>40</v>
      </c>
      <c r="E1074" t="s">
        <v>41</v>
      </c>
      <c r="F1074" t="s">
        <v>42</v>
      </c>
      <c r="G1074" t="s">
        <v>44</v>
      </c>
      <c r="H1074" t="s">
        <v>43</v>
      </c>
      <c r="I1074" t="s">
        <v>44</v>
      </c>
      <c r="J1074" t="s">
        <v>49</v>
      </c>
      <c r="K1074" s="9">
        <v>9</v>
      </c>
      <c r="L1074" s="10">
        <f>IFERROR(VLOOKUP(C1074,Parâmetros!$A$5:$D$7,IF(D1074="Mensal",2,IF(D1074="Trimestral",3,4)),0),0)</f>
        <v>27</v>
      </c>
      <c r="M1074" s="10">
        <f>IF(G1074="Sim",VLOOKUP("EA Play",Parâmetros!$A$11:$B$13,2,0),0)*K1074</f>
        <v>0</v>
      </c>
      <c r="N1074" s="10">
        <f>IF(H1074="Sim",VLOOKUP("Minecraft Pass",Parâmetros!$A$11:$B$13,2,0),0)*K1074</f>
        <v>35.910000000000004</v>
      </c>
      <c r="O1074" s="10">
        <f>IF(I1074="Sim",VLOOKUP("Call of Duty Pass",Parâmetros!$A$11:$B$13,2,0),0)*K1074</f>
        <v>0</v>
      </c>
      <c r="P1074" s="10">
        <f>(L1074*K1074+M1074+N1074+O1074)*IF(F1074="Promoção",1-Parâmetros!$B$22,1)</f>
        <v>278.91000000000003</v>
      </c>
      <c r="Q1074" s="10">
        <f>Parâmetros!$B$20*K1074</f>
        <v>108</v>
      </c>
      <c r="R1074" s="10">
        <f>P1074-Q1074</f>
        <v>170.91000000000003</v>
      </c>
    </row>
    <row r="1075" spans="1:18">
      <c r="A1075">
        <v>1074</v>
      </c>
      <c r="B1075" s="8">
        <v>45842</v>
      </c>
      <c r="C1075" t="s">
        <v>6</v>
      </c>
      <c r="D1075" t="s">
        <v>50</v>
      </c>
      <c r="E1075" t="s">
        <v>51</v>
      </c>
      <c r="F1075" t="s">
        <v>52</v>
      </c>
      <c r="G1075" t="s">
        <v>44</v>
      </c>
      <c r="H1075" t="s">
        <v>44</v>
      </c>
      <c r="I1075" t="s">
        <v>44</v>
      </c>
      <c r="J1075" t="s">
        <v>49</v>
      </c>
      <c r="K1075" s="9">
        <v>27</v>
      </c>
      <c r="L1075" s="10">
        <f>IFERROR(VLOOKUP(C1075,Parâmetros!$A$5:$D$7,IF(D1075="Mensal",2,IF(D1075="Trimestral",3,4)),0),0)</f>
        <v>99</v>
      </c>
      <c r="M1075" s="10">
        <f>IF(G1075="Sim",VLOOKUP("EA Play",Parâmetros!$A$11:$B$13,2,0),0)*K1075</f>
        <v>0</v>
      </c>
      <c r="N1075" s="10">
        <f>IF(H1075="Sim",VLOOKUP("Minecraft Pass",Parâmetros!$A$11:$B$13,2,0),0)*K1075</f>
        <v>0</v>
      </c>
      <c r="O1075" s="10">
        <f>IF(I1075="Sim",VLOOKUP("Call of Duty Pass",Parâmetros!$A$11:$B$13,2,0),0)*K1075</f>
        <v>0</v>
      </c>
      <c r="P1075" s="10">
        <f>(L1075*K1075+M1075+N1075+O1075)*IF(F1075="Promoção",1-Parâmetros!$B$22,1)</f>
        <v>2673</v>
      </c>
      <c r="Q1075" s="10">
        <f>Parâmetros!$B$20*K1075</f>
        <v>324</v>
      </c>
      <c r="R1075" s="10">
        <f>P1075-Q1075</f>
        <v>2349</v>
      </c>
    </row>
    <row r="1076" spans="1:18">
      <c r="A1076">
        <v>1075</v>
      </c>
      <c r="B1076" s="8">
        <v>45723</v>
      </c>
      <c r="C1076" t="s">
        <v>7</v>
      </c>
      <c r="D1076" t="s">
        <v>46</v>
      </c>
      <c r="E1076" t="s">
        <v>47</v>
      </c>
      <c r="F1076" t="s">
        <v>54</v>
      </c>
      <c r="G1076" t="s">
        <v>43</v>
      </c>
      <c r="H1076" t="s">
        <v>43</v>
      </c>
      <c r="I1076" t="s">
        <v>44</v>
      </c>
      <c r="J1076" t="s">
        <v>49</v>
      </c>
      <c r="K1076" s="9">
        <v>27</v>
      </c>
      <c r="L1076" s="10">
        <f>IFERROR(VLOOKUP(C1076,Parâmetros!$A$5:$D$7,IF(D1076="Mensal",2,IF(D1076="Trimestral",3,4)),0),0)</f>
        <v>14.99</v>
      </c>
      <c r="M1076" s="10">
        <f>IF(G1076="Sim",VLOOKUP("EA Play",Parâmetros!$A$11:$B$13,2,0),0)*K1076</f>
        <v>134.73000000000002</v>
      </c>
      <c r="N1076" s="10">
        <f>IF(H1076="Sim",VLOOKUP("Minecraft Pass",Parâmetros!$A$11:$B$13,2,0),0)*K1076</f>
        <v>107.73</v>
      </c>
      <c r="O1076" s="10">
        <f>IF(I1076="Sim",VLOOKUP("Call of Duty Pass",Parâmetros!$A$11:$B$13,2,0),0)*K1076</f>
        <v>0</v>
      </c>
      <c r="P1076" s="10">
        <f>(L1076*K1076+M1076+N1076+O1076)*IF(F1076="Promoção",1-Parâmetros!$B$22,1)</f>
        <v>582.47100000000012</v>
      </c>
      <c r="Q1076" s="10">
        <f>Parâmetros!$B$20*K1076</f>
        <v>324</v>
      </c>
      <c r="R1076" s="10">
        <f>P1076-Q1076</f>
        <v>258.47100000000012</v>
      </c>
    </row>
    <row r="1077" spans="1:18">
      <c r="A1077">
        <v>1076</v>
      </c>
      <c r="B1077" s="8">
        <v>45561</v>
      </c>
      <c r="C1077" t="s">
        <v>8</v>
      </c>
      <c r="D1077" t="s">
        <v>40</v>
      </c>
      <c r="E1077" t="s">
        <v>47</v>
      </c>
      <c r="F1077" t="s">
        <v>42</v>
      </c>
      <c r="G1077" t="s">
        <v>44</v>
      </c>
      <c r="H1077" t="s">
        <v>44</v>
      </c>
      <c r="I1077" t="s">
        <v>43</v>
      </c>
      <c r="J1077" t="s">
        <v>49</v>
      </c>
      <c r="K1077" s="9">
        <v>5</v>
      </c>
      <c r="L1077" s="10">
        <f>IFERROR(VLOOKUP(C1077,Parâmetros!$A$5:$D$7,IF(D1077="Mensal",2,IF(D1077="Trimestral",3,4)),0),0)</f>
        <v>59</v>
      </c>
      <c r="M1077" s="10">
        <f>IF(G1077="Sim",VLOOKUP("EA Play",Parâmetros!$A$11:$B$13,2,0),0)*K1077</f>
        <v>0</v>
      </c>
      <c r="N1077" s="10">
        <f>IF(H1077="Sim",VLOOKUP("Minecraft Pass",Parâmetros!$A$11:$B$13,2,0),0)*K1077</f>
        <v>0</v>
      </c>
      <c r="O1077" s="10">
        <f>IF(I1077="Sim",VLOOKUP("Call of Duty Pass",Parâmetros!$A$11:$B$13,2,0),0)*K1077</f>
        <v>34.950000000000003</v>
      </c>
      <c r="P1077" s="10">
        <f>(L1077*K1077+M1077+N1077+O1077)*IF(F1077="Promoção",1-Parâmetros!$B$22,1)</f>
        <v>329.95</v>
      </c>
      <c r="Q1077" s="10">
        <f>Parâmetros!$B$20*K1077</f>
        <v>60</v>
      </c>
      <c r="R1077" s="10">
        <f>P1077-Q1077</f>
        <v>269.95</v>
      </c>
    </row>
    <row r="1078" spans="1:18">
      <c r="A1078">
        <v>1077</v>
      </c>
      <c r="B1078" s="8">
        <v>45427</v>
      </c>
      <c r="C1078" t="s">
        <v>7</v>
      </c>
      <c r="D1078" t="s">
        <v>40</v>
      </c>
      <c r="E1078" t="s">
        <v>41</v>
      </c>
      <c r="F1078" t="s">
        <v>48</v>
      </c>
      <c r="G1078" t="s">
        <v>43</v>
      </c>
      <c r="H1078" t="s">
        <v>44</v>
      </c>
      <c r="I1078" t="s">
        <v>43</v>
      </c>
      <c r="J1078" t="s">
        <v>49</v>
      </c>
      <c r="K1078" s="9">
        <v>22</v>
      </c>
      <c r="L1078" s="10">
        <f>IFERROR(VLOOKUP(C1078,Parâmetros!$A$5:$D$7,IF(D1078="Mensal",2,IF(D1078="Trimestral",3,4)),0),0)</f>
        <v>40</v>
      </c>
      <c r="M1078" s="10">
        <f>IF(G1078="Sim",VLOOKUP("EA Play",Parâmetros!$A$11:$B$13,2,0),0)*K1078</f>
        <v>109.78</v>
      </c>
      <c r="N1078" s="10">
        <f>IF(H1078="Sim",VLOOKUP("Minecraft Pass",Parâmetros!$A$11:$B$13,2,0),0)*K1078</f>
        <v>0</v>
      </c>
      <c r="O1078" s="10">
        <f>IF(I1078="Sim",VLOOKUP("Call of Duty Pass",Parâmetros!$A$11:$B$13,2,0),0)*K1078</f>
        <v>153.78</v>
      </c>
      <c r="P1078" s="10">
        <f>(L1078*K1078+M1078+N1078+O1078)*IF(F1078="Promoção",1-Parâmetros!$B$22,1)</f>
        <v>1143.56</v>
      </c>
      <c r="Q1078" s="10">
        <f>Parâmetros!$B$20*K1078</f>
        <v>264</v>
      </c>
      <c r="R1078" s="10">
        <f>P1078-Q1078</f>
        <v>879.56</v>
      </c>
    </row>
    <row r="1079" spans="1:18">
      <c r="A1079">
        <v>1078</v>
      </c>
      <c r="B1079" s="8">
        <v>45636</v>
      </c>
      <c r="C1079" t="s">
        <v>7</v>
      </c>
      <c r="D1079" t="s">
        <v>40</v>
      </c>
      <c r="E1079" t="s">
        <v>53</v>
      </c>
      <c r="F1079" t="s">
        <v>42</v>
      </c>
      <c r="G1079" t="s">
        <v>44</v>
      </c>
      <c r="H1079" t="s">
        <v>43</v>
      </c>
      <c r="I1079" t="s">
        <v>44</v>
      </c>
      <c r="J1079" t="s">
        <v>49</v>
      </c>
      <c r="K1079" s="9">
        <v>29</v>
      </c>
      <c r="L1079" s="10">
        <f>IFERROR(VLOOKUP(C1079,Parâmetros!$A$5:$D$7,IF(D1079="Mensal",2,IF(D1079="Trimestral",3,4)),0),0)</f>
        <v>40</v>
      </c>
      <c r="M1079" s="10">
        <f>IF(G1079="Sim",VLOOKUP("EA Play",Parâmetros!$A$11:$B$13,2,0),0)*K1079</f>
        <v>0</v>
      </c>
      <c r="N1079" s="10">
        <f>IF(H1079="Sim",VLOOKUP("Minecraft Pass",Parâmetros!$A$11:$B$13,2,0),0)*K1079</f>
        <v>115.71000000000001</v>
      </c>
      <c r="O1079" s="10">
        <f>IF(I1079="Sim",VLOOKUP("Call of Duty Pass",Parâmetros!$A$11:$B$13,2,0),0)*K1079</f>
        <v>0</v>
      </c>
      <c r="P1079" s="10">
        <f>(L1079*K1079+M1079+N1079+O1079)*IF(F1079="Promoção",1-Parâmetros!$B$22,1)</f>
        <v>1275.71</v>
      </c>
      <c r="Q1079" s="10">
        <f>Parâmetros!$B$20*K1079</f>
        <v>348</v>
      </c>
      <c r="R1079" s="10">
        <f>P1079-Q1079</f>
        <v>927.71</v>
      </c>
    </row>
    <row r="1080" spans="1:18">
      <c r="A1080">
        <v>1079</v>
      </c>
      <c r="B1080" s="8">
        <v>45738</v>
      </c>
      <c r="C1080" t="s">
        <v>6</v>
      </c>
      <c r="D1080" t="s">
        <v>46</v>
      </c>
      <c r="E1080" t="s">
        <v>41</v>
      </c>
      <c r="F1080" t="s">
        <v>42</v>
      </c>
      <c r="G1080" t="s">
        <v>44</v>
      </c>
      <c r="H1080" t="s">
        <v>44</v>
      </c>
      <c r="I1080" t="s">
        <v>44</v>
      </c>
      <c r="J1080" t="s">
        <v>49</v>
      </c>
      <c r="K1080" s="9">
        <v>1</v>
      </c>
      <c r="L1080" s="10">
        <f>IFERROR(VLOOKUP(C1080,Parâmetros!$A$5:$D$7,IF(D1080="Mensal",2,IF(D1080="Trimestral",3,4)),0),0)</f>
        <v>9.99</v>
      </c>
      <c r="M1080" s="10">
        <f>IF(G1080="Sim",VLOOKUP("EA Play",Parâmetros!$A$11:$B$13,2,0),0)*K1080</f>
        <v>0</v>
      </c>
      <c r="N1080" s="10">
        <f>IF(H1080="Sim",VLOOKUP("Minecraft Pass",Parâmetros!$A$11:$B$13,2,0),0)*K1080</f>
        <v>0</v>
      </c>
      <c r="O1080" s="10">
        <f>IF(I1080="Sim",VLOOKUP("Call of Duty Pass",Parâmetros!$A$11:$B$13,2,0),0)*K1080</f>
        <v>0</v>
      </c>
      <c r="P1080" s="10">
        <f>(L1080*K1080+M1080+N1080+O1080)*IF(F1080="Promoção",1-Parâmetros!$B$22,1)</f>
        <v>9.99</v>
      </c>
      <c r="Q1080" s="10">
        <f>Parâmetros!$B$20*K1080</f>
        <v>12</v>
      </c>
      <c r="R1080" s="10">
        <f>P1080-Q1080</f>
        <v>-2.0099999999999998</v>
      </c>
    </row>
    <row r="1081" spans="1:18">
      <c r="A1081">
        <v>1080</v>
      </c>
      <c r="B1081" s="8">
        <v>45899</v>
      </c>
      <c r="C1081" t="s">
        <v>7</v>
      </c>
      <c r="D1081" t="s">
        <v>40</v>
      </c>
      <c r="E1081" t="s">
        <v>47</v>
      </c>
      <c r="F1081" t="s">
        <v>42</v>
      </c>
      <c r="G1081" t="s">
        <v>43</v>
      </c>
      <c r="H1081" t="s">
        <v>44</v>
      </c>
      <c r="I1081" t="s">
        <v>43</v>
      </c>
      <c r="J1081" t="s">
        <v>45</v>
      </c>
      <c r="K1081" s="9">
        <v>15</v>
      </c>
      <c r="L1081" s="10">
        <f>IFERROR(VLOOKUP(C1081,Parâmetros!$A$5:$D$7,IF(D1081="Mensal",2,IF(D1081="Trimestral",3,4)),0),0)</f>
        <v>40</v>
      </c>
      <c r="M1081" s="10">
        <f>IF(G1081="Sim",VLOOKUP("EA Play",Parâmetros!$A$11:$B$13,2,0),0)*K1081</f>
        <v>74.850000000000009</v>
      </c>
      <c r="N1081" s="10">
        <f>IF(H1081="Sim",VLOOKUP("Minecraft Pass",Parâmetros!$A$11:$B$13,2,0),0)*K1081</f>
        <v>0</v>
      </c>
      <c r="O1081" s="10">
        <f>IF(I1081="Sim",VLOOKUP("Call of Duty Pass",Parâmetros!$A$11:$B$13,2,0),0)*K1081</f>
        <v>104.85000000000001</v>
      </c>
      <c r="P1081" s="10">
        <f>(L1081*K1081+M1081+N1081+O1081)*IF(F1081="Promoção",1-Parâmetros!$B$22,1)</f>
        <v>779.7</v>
      </c>
      <c r="Q1081" s="10">
        <f>Parâmetros!$B$20*K1081</f>
        <v>180</v>
      </c>
      <c r="R1081" s="10">
        <f>P1081-Q1081</f>
        <v>599.70000000000005</v>
      </c>
    </row>
    <row r="1082" spans="1:18">
      <c r="A1082">
        <v>1081</v>
      </c>
      <c r="B1082" s="8">
        <v>45596</v>
      </c>
      <c r="C1082" t="s">
        <v>7</v>
      </c>
      <c r="D1082" t="s">
        <v>46</v>
      </c>
      <c r="E1082" t="s">
        <v>47</v>
      </c>
      <c r="F1082" t="s">
        <v>48</v>
      </c>
      <c r="G1082" t="s">
        <v>44</v>
      </c>
      <c r="H1082" t="s">
        <v>44</v>
      </c>
      <c r="I1082" t="s">
        <v>43</v>
      </c>
      <c r="J1082" t="s">
        <v>49</v>
      </c>
      <c r="K1082" s="9">
        <v>12</v>
      </c>
      <c r="L1082" s="10">
        <f>IFERROR(VLOOKUP(C1082,Parâmetros!$A$5:$D$7,IF(D1082="Mensal",2,IF(D1082="Trimestral",3,4)),0),0)</f>
        <v>14.99</v>
      </c>
      <c r="M1082" s="10">
        <f>IF(G1082="Sim",VLOOKUP("EA Play",Parâmetros!$A$11:$B$13,2,0),0)*K1082</f>
        <v>0</v>
      </c>
      <c r="N1082" s="10">
        <f>IF(H1082="Sim",VLOOKUP("Minecraft Pass",Parâmetros!$A$11:$B$13,2,0),0)*K1082</f>
        <v>0</v>
      </c>
      <c r="O1082" s="10">
        <f>IF(I1082="Sim",VLOOKUP("Call of Duty Pass",Parâmetros!$A$11:$B$13,2,0),0)*K1082</f>
        <v>83.88</v>
      </c>
      <c r="P1082" s="10">
        <f>(L1082*K1082+M1082+N1082+O1082)*IF(F1082="Promoção",1-Parâmetros!$B$22,1)</f>
        <v>263.76</v>
      </c>
      <c r="Q1082" s="10">
        <f>Parâmetros!$B$20*K1082</f>
        <v>144</v>
      </c>
      <c r="R1082" s="10">
        <f>P1082-Q1082</f>
        <v>119.75999999999999</v>
      </c>
    </row>
    <row r="1083" spans="1:18">
      <c r="A1083">
        <v>1082</v>
      </c>
      <c r="B1083" s="8">
        <v>45438</v>
      </c>
      <c r="C1083" t="s">
        <v>6</v>
      </c>
      <c r="D1083" t="s">
        <v>50</v>
      </c>
      <c r="E1083" t="s">
        <v>55</v>
      </c>
      <c r="F1083" t="s">
        <v>52</v>
      </c>
      <c r="G1083" t="s">
        <v>43</v>
      </c>
      <c r="H1083" t="s">
        <v>43</v>
      </c>
      <c r="I1083" t="s">
        <v>44</v>
      </c>
      <c r="J1083" t="s">
        <v>49</v>
      </c>
      <c r="K1083" s="9">
        <v>23</v>
      </c>
      <c r="L1083" s="10">
        <f>IFERROR(VLOOKUP(C1083,Parâmetros!$A$5:$D$7,IF(D1083="Mensal",2,IF(D1083="Trimestral",3,4)),0),0)</f>
        <v>99</v>
      </c>
      <c r="M1083" s="10">
        <f>IF(G1083="Sim",VLOOKUP("EA Play",Parâmetros!$A$11:$B$13,2,0),0)*K1083</f>
        <v>114.77000000000001</v>
      </c>
      <c r="N1083" s="10">
        <f>IF(H1083="Sim",VLOOKUP("Minecraft Pass",Parâmetros!$A$11:$B$13,2,0),0)*K1083</f>
        <v>91.77000000000001</v>
      </c>
      <c r="O1083" s="10">
        <f>IF(I1083="Sim",VLOOKUP("Call of Duty Pass",Parâmetros!$A$11:$B$13,2,0),0)*K1083</f>
        <v>0</v>
      </c>
      <c r="P1083" s="10">
        <f>(L1083*K1083+M1083+N1083+O1083)*IF(F1083="Promoção",1-Parâmetros!$B$22,1)</f>
        <v>2483.54</v>
      </c>
      <c r="Q1083" s="10">
        <f>Parâmetros!$B$20*K1083</f>
        <v>276</v>
      </c>
      <c r="R1083" s="10">
        <f>P1083-Q1083</f>
        <v>2207.54</v>
      </c>
    </row>
    <row r="1084" spans="1:18">
      <c r="A1084">
        <v>1083</v>
      </c>
      <c r="B1084" s="8">
        <v>45583</v>
      </c>
      <c r="C1084" t="s">
        <v>6</v>
      </c>
      <c r="D1084" t="s">
        <v>46</v>
      </c>
      <c r="E1084" t="s">
        <v>47</v>
      </c>
      <c r="F1084" t="s">
        <v>42</v>
      </c>
      <c r="G1084" t="s">
        <v>43</v>
      </c>
      <c r="H1084" t="s">
        <v>44</v>
      </c>
      <c r="I1084" t="s">
        <v>43</v>
      </c>
      <c r="J1084" t="s">
        <v>45</v>
      </c>
      <c r="K1084" s="9">
        <v>7</v>
      </c>
      <c r="L1084" s="10">
        <f>IFERROR(VLOOKUP(C1084,Parâmetros!$A$5:$D$7,IF(D1084="Mensal",2,IF(D1084="Trimestral",3,4)),0),0)</f>
        <v>9.99</v>
      </c>
      <c r="M1084" s="10">
        <f>IF(G1084="Sim",VLOOKUP("EA Play",Parâmetros!$A$11:$B$13,2,0),0)*K1084</f>
        <v>34.93</v>
      </c>
      <c r="N1084" s="10">
        <f>IF(H1084="Sim",VLOOKUP("Minecraft Pass",Parâmetros!$A$11:$B$13,2,0),0)*K1084</f>
        <v>0</v>
      </c>
      <c r="O1084" s="10">
        <f>IF(I1084="Sim",VLOOKUP("Call of Duty Pass",Parâmetros!$A$11:$B$13,2,0),0)*K1084</f>
        <v>48.93</v>
      </c>
      <c r="P1084" s="10">
        <f>(L1084*K1084+M1084+N1084+O1084)*IF(F1084="Promoção",1-Parâmetros!$B$22,1)</f>
        <v>153.79000000000002</v>
      </c>
      <c r="Q1084" s="10">
        <f>Parâmetros!$B$20*K1084</f>
        <v>84</v>
      </c>
      <c r="R1084" s="10">
        <f>P1084-Q1084</f>
        <v>69.79000000000002</v>
      </c>
    </row>
    <row r="1085" spans="1:18">
      <c r="A1085">
        <v>1084</v>
      </c>
      <c r="B1085" s="8">
        <v>45529</v>
      </c>
      <c r="C1085" t="s">
        <v>7</v>
      </c>
      <c r="D1085" t="s">
        <v>46</v>
      </c>
      <c r="E1085" t="s">
        <v>41</v>
      </c>
      <c r="F1085" t="s">
        <v>54</v>
      </c>
      <c r="G1085" t="s">
        <v>44</v>
      </c>
      <c r="H1085" t="s">
        <v>43</v>
      </c>
      <c r="I1085" t="s">
        <v>44</v>
      </c>
      <c r="J1085" t="s">
        <v>45</v>
      </c>
      <c r="K1085" s="9">
        <v>35</v>
      </c>
      <c r="L1085" s="10">
        <f>IFERROR(VLOOKUP(C1085,Parâmetros!$A$5:$D$7,IF(D1085="Mensal",2,IF(D1085="Trimestral",3,4)),0),0)</f>
        <v>14.99</v>
      </c>
      <c r="M1085" s="10">
        <f>IF(G1085="Sim",VLOOKUP("EA Play",Parâmetros!$A$11:$B$13,2,0),0)*K1085</f>
        <v>0</v>
      </c>
      <c r="N1085" s="10">
        <f>IF(H1085="Sim",VLOOKUP("Minecraft Pass",Parâmetros!$A$11:$B$13,2,0),0)*K1085</f>
        <v>139.65</v>
      </c>
      <c r="O1085" s="10">
        <f>IF(I1085="Sim",VLOOKUP("Call of Duty Pass",Parâmetros!$A$11:$B$13,2,0),0)*K1085</f>
        <v>0</v>
      </c>
      <c r="P1085" s="10">
        <f>(L1085*K1085+M1085+N1085+O1085)*IF(F1085="Promoção",1-Parâmetros!$B$22,1)</f>
        <v>597.87</v>
      </c>
      <c r="Q1085" s="10">
        <f>Parâmetros!$B$20*K1085</f>
        <v>420</v>
      </c>
      <c r="R1085" s="10">
        <f>P1085-Q1085</f>
        <v>177.87</v>
      </c>
    </row>
    <row r="1086" spans="1:18">
      <c r="A1086">
        <v>1085</v>
      </c>
      <c r="B1086" s="8">
        <v>45842</v>
      </c>
      <c r="C1086" t="s">
        <v>8</v>
      </c>
      <c r="D1086" t="s">
        <v>46</v>
      </c>
      <c r="E1086" t="s">
        <v>51</v>
      </c>
      <c r="F1086" t="s">
        <v>42</v>
      </c>
      <c r="G1086" t="s">
        <v>43</v>
      </c>
      <c r="H1086" t="s">
        <v>44</v>
      </c>
      <c r="I1086" t="s">
        <v>44</v>
      </c>
      <c r="J1086" t="s">
        <v>45</v>
      </c>
      <c r="K1086" s="9">
        <v>34</v>
      </c>
      <c r="L1086" s="10">
        <f>IFERROR(VLOOKUP(C1086,Parâmetros!$A$5:$D$7,IF(D1086="Mensal",2,IF(D1086="Trimestral",3,4)),0),0)</f>
        <v>21.99</v>
      </c>
      <c r="M1086" s="10">
        <f>IF(G1086="Sim",VLOOKUP("EA Play",Parâmetros!$A$11:$B$13,2,0),0)*K1086</f>
        <v>169.66</v>
      </c>
      <c r="N1086" s="10">
        <f>IF(H1086="Sim",VLOOKUP("Minecraft Pass",Parâmetros!$A$11:$B$13,2,0),0)*K1086</f>
        <v>0</v>
      </c>
      <c r="O1086" s="10">
        <f>IF(I1086="Sim",VLOOKUP("Call of Duty Pass",Parâmetros!$A$11:$B$13,2,0),0)*K1086</f>
        <v>0</v>
      </c>
      <c r="P1086" s="10">
        <f>(L1086*K1086+M1086+N1086+O1086)*IF(F1086="Promoção",1-Parâmetros!$B$22,1)</f>
        <v>917.31999999999994</v>
      </c>
      <c r="Q1086" s="10">
        <f>Parâmetros!$B$20*K1086</f>
        <v>408</v>
      </c>
      <c r="R1086" s="10">
        <f>P1086-Q1086</f>
        <v>509.31999999999994</v>
      </c>
    </row>
    <row r="1087" spans="1:18">
      <c r="A1087">
        <v>1086</v>
      </c>
      <c r="B1087" s="8">
        <v>45421</v>
      </c>
      <c r="C1087" t="s">
        <v>8</v>
      </c>
      <c r="D1087" t="s">
        <v>46</v>
      </c>
      <c r="E1087" t="s">
        <v>41</v>
      </c>
      <c r="F1087" t="s">
        <v>52</v>
      </c>
      <c r="G1087" t="s">
        <v>44</v>
      </c>
      <c r="H1087" t="s">
        <v>44</v>
      </c>
      <c r="I1087" t="s">
        <v>44</v>
      </c>
      <c r="J1087" t="s">
        <v>49</v>
      </c>
      <c r="K1087" s="9">
        <v>9</v>
      </c>
      <c r="L1087" s="10">
        <f>IFERROR(VLOOKUP(C1087,Parâmetros!$A$5:$D$7,IF(D1087="Mensal",2,IF(D1087="Trimestral",3,4)),0),0)</f>
        <v>21.99</v>
      </c>
      <c r="M1087" s="10">
        <f>IF(G1087="Sim",VLOOKUP("EA Play",Parâmetros!$A$11:$B$13,2,0),0)*K1087</f>
        <v>0</v>
      </c>
      <c r="N1087" s="10">
        <f>IF(H1087="Sim",VLOOKUP("Minecraft Pass",Parâmetros!$A$11:$B$13,2,0),0)*K1087</f>
        <v>0</v>
      </c>
      <c r="O1087" s="10">
        <f>IF(I1087="Sim",VLOOKUP("Call of Duty Pass",Parâmetros!$A$11:$B$13,2,0),0)*K1087</f>
        <v>0</v>
      </c>
      <c r="P1087" s="10">
        <f>(L1087*K1087+M1087+N1087+O1087)*IF(F1087="Promoção",1-Parâmetros!$B$22,1)</f>
        <v>197.91</v>
      </c>
      <c r="Q1087" s="10">
        <f>Parâmetros!$B$20*K1087</f>
        <v>108</v>
      </c>
      <c r="R1087" s="10">
        <f>P1087-Q1087</f>
        <v>89.91</v>
      </c>
    </row>
    <row r="1088" spans="1:18">
      <c r="A1088">
        <v>1087</v>
      </c>
      <c r="B1088" s="8">
        <v>45577</v>
      </c>
      <c r="C1088" t="s">
        <v>7</v>
      </c>
      <c r="D1088" t="s">
        <v>46</v>
      </c>
      <c r="E1088" t="s">
        <v>41</v>
      </c>
      <c r="F1088" t="s">
        <v>42</v>
      </c>
      <c r="G1088" t="s">
        <v>44</v>
      </c>
      <c r="H1088" t="s">
        <v>44</v>
      </c>
      <c r="I1088" t="s">
        <v>44</v>
      </c>
      <c r="J1088" t="s">
        <v>49</v>
      </c>
      <c r="K1088" s="9">
        <v>18</v>
      </c>
      <c r="L1088" s="10">
        <f>IFERROR(VLOOKUP(C1088,Parâmetros!$A$5:$D$7,IF(D1088="Mensal",2,IF(D1088="Trimestral",3,4)),0),0)</f>
        <v>14.99</v>
      </c>
      <c r="M1088" s="10">
        <f>IF(G1088="Sim",VLOOKUP("EA Play",Parâmetros!$A$11:$B$13,2,0),0)*K1088</f>
        <v>0</v>
      </c>
      <c r="N1088" s="10">
        <f>IF(H1088="Sim",VLOOKUP("Minecraft Pass",Parâmetros!$A$11:$B$13,2,0),0)*K1088</f>
        <v>0</v>
      </c>
      <c r="O1088" s="10">
        <f>IF(I1088="Sim",VLOOKUP("Call of Duty Pass",Parâmetros!$A$11:$B$13,2,0),0)*K1088</f>
        <v>0</v>
      </c>
      <c r="P1088" s="10">
        <f>(L1088*K1088+M1088+N1088+O1088)*IF(F1088="Promoção",1-Parâmetros!$B$22,1)</f>
        <v>269.82</v>
      </c>
      <c r="Q1088" s="10">
        <f>Parâmetros!$B$20*K1088</f>
        <v>216</v>
      </c>
      <c r="R1088" s="10">
        <f>P1088-Q1088</f>
        <v>53.819999999999993</v>
      </c>
    </row>
    <row r="1089" spans="1:18">
      <c r="A1089">
        <v>1088</v>
      </c>
      <c r="B1089" s="8">
        <v>45756</v>
      </c>
      <c r="C1089" t="s">
        <v>7</v>
      </c>
      <c r="D1089" t="s">
        <v>40</v>
      </c>
      <c r="E1089" t="s">
        <v>51</v>
      </c>
      <c r="F1089" t="s">
        <v>52</v>
      </c>
      <c r="G1089" t="s">
        <v>43</v>
      </c>
      <c r="H1089" t="s">
        <v>44</v>
      </c>
      <c r="I1089" t="s">
        <v>44</v>
      </c>
      <c r="J1089" t="s">
        <v>45</v>
      </c>
      <c r="K1089" s="9">
        <v>34</v>
      </c>
      <c r="L1089" s="10">
        <f>IFERROR(VLOOKUP(C1089,Parâmetros!$A$5:$D$7,IF(D1089="Mensal",2,IF(D1089="Trimestral",3,4)),0),0)</f>
        <v>40</v>
      </c>
      <c r="M1089" s="10">
        <f>IF(G1089="Sim",VLOOKUP("EA Play",Parâmetros!$A$11:$B$13,2,0),0)*K1089</f>
        <v>169.66</v>
      </c>
      <c r="N1089" s="10">
        <f>IF(H1089="Sim",VLOOKUP("Minecraft Pass",Parâmetros!$A$11:$B$13,2,0),0)*K1089</f>
        <v>0</v>
      </c>
      <c r="O1089" s="10">
        <f>IF(I1089="Sim",VLOOKUP("Call of Duty Pass",Parâmetros!$A$11:$B$13,2,0),0)*K1089</f>
        <v>0</v>
      </c>
      <c r="P1089" s="10">
        <f>(L1089*K1089+M1089+N1089+O1089)*IF(F1089="Promoção",1-Parâmetros!$B$22,1)</f>
        <v>1529.66</v>
      </c>
      <c r="Q1089" s="10">
        <f>Parâmetros!$B$20*K1089</f>
        <v>408</v>
      </c>
      <c r="R1089" s="10">
        <f>P1089-Q1089</f>
        <v>1121.6600000000001</v>
      </c>
    </row>
    <row r="1090" spans="1:18">
      <c r="A1090">
        <v>1089</v>
      </c>
      <c r="B1090" s="8">
        <v>45617</v>
      </c>
      <c r="C1090" t="s">
        <v>6</v>
      </c>
      <c r="D1090" t="s">
        <v>40</v>
      </c>
      <c r="E1090" t="s">
        <v>51</v>
      </c>
      <c r="F1090" t="s">
        <v>52</v>
      </c>
      <c r="G1090" t="s">
        <v>44</v>
      </c>
      <c r="H1090" t="s">
        <v>44</v>
      </c>
      <c r="I1090" t="s">
        <v>43</v>
      </c>
      <c r="J1090" t="s">
        <v>45</v>
      </c>
      <c r="K1090" s="9">
        <v>15</v>
      </c>
      <c r="L1090" s="10">
        <f>IFERROR(VLOOKUP(C1090,Parâmetros!$A$5:$D$7,IF(D1090="Mensal",2,IF(D1090="Trimestral",3,4)),0),0)</f>
        <v>27</v>
      </c>
      <c r="M1090" s="10">
        <f>IF(G1090="Sim",VLOOKUP("EA Play",Parâmetros!$A$11:$B$13,2,0),0)*K1090</f>
        <v>0</v>
      </c>
      <c r="N1090" s="10">
        <f>IF(H1090="Sim",VLOOKUP("Minecraft Pass",Parâmetros!$A$11:$B$13,2,0),0)*K1090</f>
        <v>0</v>
      </c>
      <c r="O1090" s="10">
        <f>IF(I1090="Sim",VLOOKUP("Call of Duty Pass",Parâmetros!$A$11:$B$13,2,0),0)*K1090</f>
        <v>104.85000000000001</v>
      </c>
      <c r="P1090" s="10">
        <f>(L1090*K1090+M1090+N1090+O1090)*IF(F1090="Promoção",1-Parâmetros!$B$22,1)</f>
        <v>509.85</v>
      </c>
      <c r="Q1090" s="10">
        <f>Parâmetros!$B$20*K1090</f>
        <v>180</v>
      </c>
      <c r="R1090" s="10">
        <f>P1090-Q1090</f>
        <v>329.85</v>
      </c>
    </row>
    <row r="1091" spans="1:18">
      <c r="A1091">
        <v>1090</v>
      </c>
      <c r="B1091" s="8">
        <v>45981</v>
      </c>
      <c r="C1091" t="s">
        <v>6</v>
      </c>
      <c r="D1091" t="s">
        <v>46</v>
      </c>
      <c r="E1091" t="s">
        <v>47</v>
      </c>
      <c r="F1091" t="s">
        <v>42</v>
      </c>
      <c r="G1091" t="s">
        <v>44</v>
      </c>
      <c r="H1091" t="s">
        <v>43</v>
      </c>
      <c r="I1091" t="s">
        <v>44</v>
      </c>
      <c r="J1091" t="s">
        <v>49</v>
      </c>
      <c r="K1091" s="9">
        <v>34</v>
      </c>
      <c r="L1091" s="10">
        <f>IFERROR(VLOOKUP(C1091,Parâmetros!$A$5:$D$7,IF(D1091="Mensal",2,IF(D1091="Trimestral",3,4)),0),0)</f>
        <v>9.99</v>
      </c>
      <c r="M1091" s="10">
        <f>IF(G1091="Sim",VLOOKUP("EA Play",Parâmetros!$A$11:$B$13,2,0),0)*K1091</f>
        <v>0</v>
      </c>
      <c r="N1091" s="10">
        <f>IF(H1091="Sim",VLOOKUP("Minecraft Pass",Parâmetros!$A$11:$B$13,2,0),0)*K1091</f>
        <v>135.66</v>
      </c>
      <c r="O1091" s="10">
        <f>IF(I1091="Sim",VLOOKUP("Call of Duty Pass",Parâmetros!$A$11:$B$13,2,0),0)*K1091</f>
        <v>0</v>
      </c>
      <c r="P1091" s="10">
        <f>(L1091*K1091+M1091+N1091+O1091)*IF(F1091="Promoção",1-Parâmetros!$B$22,1)</f>
        <v>475.32000000000005</v>
      </c>
      <c r="Q1091" s="10">
        <f>Parâmetros!$B$20*K1091</f>
        <v>408</v>
      </c>
      <c r="R1091" s="10">
        <f>P1091-Q1091</f>
        <v>67.32000000000005</v>
      </c>
    </row>
    <row r="1092" spans="1:18">
      <c r="A1092">
        <v>1091</v>
      </c>
      <c r="B1092" s="8">
        <v>45511</v>
      </c>
      <c r="C1092" t="s">
        <v>6</v>
      </c>
      <c r="D1092" t="s">
        <v>46</v>
      </c>
      <c r="E1092" t="s">
        <v>47</v>
      </c>
      <c r="F1092" t="s">
        <v>42</v>
      </c>
      <c r="G1092" t="s">
        <v>43</v>
      </c>
      <c r="H1092" t="s">
        <v>44</v>
      </c>
      <c r="I1092" t="s">
        <v>43</v>
      </c>
      <c r="J1092" t="s">
        <v>49</v>
      </c>
      <c r="K1092" s="9">
        <v>16</v>
      </c>
      <c r="L1092" s="10">
        <f>IFERROR(VLOOKUP(C1092,Parâmetros!$A$5:$D$7,IF(D1092="Mensal",2,IF(D1092="Trimestral",3,4)),0),0)</f>
        <v>9.99</v>
      </c>
      <c r="M1092" s="10">
        <f>IF(G1092="Sim",VLOOKUP("EA Play",Parâmetros!$A$11:$B$13,2,0),0)*K1092</f>
        <v>79.84</v>
      </c>
      <c r="N1092" s="10">
        <f>IF(H1092="Sim",VLOOKUP("Minecraft Pass",Parâmetros!$A$11:$B$13,2,0),0)*K1092</f>
        <v>0</v>
      </c>
      <c r="O1092" s="10">
        <f>IF(I1092="Sim",VLOOKUP("Call of Duty Pass",Parâmetros!$A$11:$B$13,2,0),0)*K1092</f>
        <v>111.84</v>
      </c>
      <c r="P1092" s="10">
        <f>(L1092*K1092+M1092+N1092+O1092)*IF(F1092="Promoção",1-Parâmetros!$B$22,1)</f>
        <v>351.52</v>
      </c>
      <c r="Q1092" s="10">
        <f>Parâmetros!$B$20*K1092</f>
        <v>192</v>
      </c>
      <c r="R1092" s="10">
        <f>P1092-Q1092</f>
        <v>159.51999999999998</v>
      </c>
    </row>
    <row r="1093" spans="1:18">
      <c r="A1093">
        <v>1092</v>
      </c>
      <c r="B1093" s="8">
        <v>45945</v>
      </c>
      <c r="C1093" t="s">
        <v>6</v>
      </c>
      <c r="D1093" t="s">
        <v>40</v>
      </c>
      <c r="E1093" t="s">
        <v>53</v>
      </c>
      <c r="F1093" t="s">
        <v>54</v>
      </c>
      <c r="G1093" t="s">
        <v>44</v>
      </c>
      <c r="H1093" t="s">
        <v>44</v>
      </c>
      <c r="I1093" t="s">
        <v>44</v>
      </c>
      <c r="J1093" t="s">
        <v>49</v>
      </c>
      <c r="K1093" s="9">
        <v>26</v>
      </c>
      <c r="L1093" s="10">
        <f>IFERROR(VLOOKUP(C1093,Parâmetros!$A$5:$D$7,IF(D1093="Mensal",2,IF(D1093="Trimestral",3,4)),0),0)</f>
        <v>27</v>
      </c>
      <c r="M1093" s="10">
        <f>IF(G1093="Sim",VLOOKUP("EA Play",Parâmetros!$A$11:$B$13,2,0),0)*K1093</f>
        <v>0</v>
      </c>
      <c r="N1093" s="10">
        <f>IF(H1093="Sim",VLOOKUP("Minecraft Pass",Parâmetros!$A$11:$B$13,2,0),0)*K1093</f>
        <v>0</v>
      </c>
      <c r="O1093" s="10">
        <f>IF(I1093="Sim",VLOOKUP("Call of Duty Pass",Parâmetros!$A$11:$B$13,2,0),0)*K1093</f>
        <v>0</v>
      </c>
      <c r="P1093" s="10">
        <f>(L1093*K1093+M1093+N1093+O1093)*IF(F1093="Promoção",1-Parâmetros!$B$22,1)</f>
        <v>631.80000000000007</v>
      </c>
      <c r="Q1093" s="10">
        <f>Parâmetros!$B$20*K1093</f>
        <v>312</v>
      </c>
      <c r="R1093" s="10">
        <f>P1093-Q1093</f>
        <v>319.80000000000007</v>
      </c>
    </row>
    <row r="1094" spans="1:18">
      <c r="A1094">
        <v>1093</v>
      </c>
      <c r="B1094" s="8">
        <v>45904</v>
      </c>
      <c r="C1094" t="s">
        <v>6</v>
      </c>
      <c r="D1094" t="s">
        <v>46</v>
      </c>
      <c r="E1094" t="s">
        <v>41</v>
      </c>
      <c r="F1094" t="s">
        <v>42</v>
      </c>
      <c r="G1094" t="s">
        <v>44</v>
      </c>
      <c r="H1094" t="s">
        <v>44</v>
      </c>
      <c r="I1094" t="s">
        <v>43</v>
      </c>
      <c r="J1094" t="s">
        <v>45</v>
      </c>
      <c r="K1094" s="9">
        <v>21</v>
      </c>
      <c r="L1094" s="10">
        <f>IFERROR(VLOOKUP(C1094,Parâmetros!$A$5:$D$7,IF(D1094="Mensal",2,IF(D1094="Trimestral",3,4)),0),0)</f>
        <v>9.99</v>
      </c>
      <c r="M1094" s="10">
        <f>IF(G1094="Sim",VLOOKUP("EA Play",Parâmetros!$A$11:$B$13,2,0),0)*K1094</f>
        <v>0</v>
      </c>
      <c r="N1094" s="10">
        <f>IF(H1094="Sim",VLOOKUP("Minecraft Pass",Parâmetros!$A$11:$B$13,2,0),0)*K1094</f>
        <v>0</v>
      </c>
      <c r="O1094" s="10">
        <f>IF(I1094="Sim",VLOOKUP("Call of Duty Pass",Parâmetros!$A$11:$B$13,2,0),0)*K1094</f>
        <v>146.79</v>
      </c>
      <c r="P1094" s="10">
        <f>(L1094*K1094+M1094+N1094+O1094)*IF(F1094="Promoção",1-Parâmetros!$B$22,1)</f>
        <v>356.58</v>
      </c>
      <c r="Q1094" s="10">
        <f>Parâmetros!$B$20*K1094</f>
        <v>252</v>
      </c>
      <c r="R1094" s="10">
        <f>P1094-Q1094</f>
        <v>104.57999999999998</v>
      </c>
    </row>
    <row r="1095" spans="1:18">
      <c r="A1095">
        <v>1094</v>
      </c>
      <c r="B1095" s="8">
        <v>45545</v>
      </c>
      <c r="C1095" t="s">
        <v>7</v>
      </c>
      <c r="D1095" t="s">
        <v>46</v>
      </c>
      <c r="E1095" t="s">
        <v>47</v>
      </c>
      <c r="F1095" t="s">
        <v>42</v>
      </c>
      <c r="G1095" t="s">
        <v>43</v>
      </c>
      <c r="H1095" t="s">
        <v>44</v>
      </c>
      <c r="I1095" t="s">
        <v>44</v>
      </c>
      <c r="J1095" t="s">
        <v>45</v>
      </c>
      <c r="K1095" s="9">
        <v>31</v>
      </c>
      <c r="L1095" s="10">
        <f>IFERROR(VLOOKUP(C1095,Parâmetros!$A$5:$D$7,IF(D1095="Mensal",2,IF(D1095="Trimestral",3,4)),0),0)</f>
        <v>14.99</v>
      </c>
      <c r="M1095" s="10">
        <f>IF(G1095="Sim",VLOOKUP("EA Play",Parâmetros!$A$11:$B$13,2,0),0)*K1095</f>
        <v>154.69</v>
      </c>
      <c r="N1095" s="10">
        <f>IF(H1095="Sim",VLOOKUP("Minecraft Pass",Parâmetros!$A$11:$B$13,2,0),0)*K1095</f>
        <v>0</v>
      </c>
      <c r="O1095" s="10">
        <f>IF(I1095="Sim",VLOOKUP("Call of Duty Pass",Parâmetros!$A$11:$B$13,2,0),0)*K1095</f>
        <v>0</v>
      </c>
      <c r="P1095" s="10">
        <f>(L1095*K1095+M1095+N1095+O1095)*IF(F1095="Promoção",1-Parâmetros!$B$22,1)</f>
        <v>619.38</v>
      </c>
      <c r="Q1095" s="10">
        <f>Parâmetros!$B$20*K1095</f>
        <v>372</v>
      </c>
      <c r="R1095" s="10">
        <f>P1095-Q1095</f>
        <v>247.38</v>
      </c>
    </row>
    <row r="1096" spans="1:18">
      <c r="A1096">
        <v>1095</v>
      </c>
      <c r="B1096" s="8">
        <v>45792</v>
      </c>
      <c r="C1096" t="s">
        <v>7</v>
      </c>
      <c r="D1096" t="s">
        <v>40</v>
      </c>
      <c r="E1096" t="s">
        <v>41</v>
      </c>
      <c r="F1096" t="s">
        <v>42</v>
      </c>
      <c r="G1096" t="s">
        <v>43</v>
      </c>
      <c r="H1096" t="s">
        <v>44</v>
      </c>
      <c r="I1096" t="s">
        <v>44</v>
      </c>
      <c r="J1096" t="s">
        <v>45</v>
      </c>
      <c r="K1096" s="9">
        <v>21</v>
      </c>
      <c r="L1096" s="10">
        <f>IFERROR(VLOOKUP(C1096,Parâmetros!$A$5:$D$7,IF(D1096="Mensal",2,IF(D1096="Trimestral",3,4)),0),0)</f>
        <v>40</v>
      </c>
      <c r="M1096" s="10">
        <f>IF(G1096="Sim",VLOOKUP("EA Play",Parâmetros!$A$11:$B$13,2,0),0)*K1096</f>
        <v>104.79</v>
      </c>
      <c r="N1096" s="10">
        <f>IF(H1096="Sim",VLOOKUP("Minecraft Pass",Parâmetros!$A$11:$B$13,2,0),0)*K1096</f>
        <v>0</v>
      </c>
      <c r="O1096" s="10">
        <f>IF(I1096="Sim",VLOOKUP("Call of Duty Pass",Parâmetros!$A$11:$B$13,2,0),0)*K1096</f>
        <v>0</v>
      </c>
      <c r="P1096" s="10">
        <f>(L1096*K1096+M1096+N1096+O1096)*IF(F1096="Promoção",1-Parâmetros!$B$22,1)</f>
        <v>944.79</v>
      </c>
      <c r="Q1096" s="10">
        <f>Parâmetros!$B$20*K1096</f>
        <v>252</v>
      </c>
      <c r="R1096" s="10">
        <f>P1096-Q1096</f>
        <v>692.79</v>
      </c>
    </row>
    <row r="1097" spans="1:18">
      <c r="A1097">
        <v>1096</v>
      </c>
      <c r="B1097" s="8">
        <v>45559</v>
      </c>
      <c r="C1097" t="s">
        <v>7</v>
      </c>
      <c r="D1097" t="s">
        <v>46</v>
      </c>
      <c r="E1097" t="s">
        <v>51</v>
      </c>
      <c r="F1097" t="s">
        <v>48</v>
      </c>
      <c r="G1097" t="s">
        <v>43</v>
      </c>
      <c r="H1097" t="s">
        <v>43</v>
      </c>
      <c r="I1097" t="s">
        <v>44</v>
      </c>
      <c r="J1097" t="s">
        <v>49</v>
      </c>
      <c r="K1097" s="9">
        <v>3</v>
      </c>
      <c r="L1097" s="10">
        <f>IFERROR(VLOOKUP(C1097,Parâmetros!$A$5:$D$7,IF(D1097="Mensal",2,IF(D1097="Trimestral",3,4)),0),0)</f>
        <v>14.99</v>
      </c>
      <c r="M1097" s="10">
        <f>IF(G1097="Sim",VLOOKUP("EA Play",Parâmetros!$A$11:$B$13,2,0),0)*K1097</f>
        <v>14.97</v>
      </c>
      <c r="N1097" s="10">
        <f>IF(H1097="Sim",VLOOKUP("Minecraft Pass",Parâmetros!$A$11:$B$13,2,0),0)*K1097</f>
        <v>11.97</v>
      </c>
      <c r="O1097" s="10">
        <f>IF(I1097="Sim",VLOOKUP("Call of Duty Pass",Parâmetros!$A$11:$B$13,2,0),0)*K1097</f>
        <v>0</v>
      </c>
      <c r="P1097" s="10">
        <f>(L1097*K1097+M1097+N1097+O1097)*IF(F1097="Promoção",1-Parâmetros!$B$22,1)</f>
        <v>71.91</v>
      </c>
      <c r="Q1097" s="10">
        <f>Parâmetros!$B$20*K1097</f>
        <v>36</v>
      </c>
      <c r="R1097" s="10">
        <f>P1097-Q1097</f>
        <v>35.909999999999997</v>
      </c>
    </row>
    <row r="1098" spans="1:18">
      <c r="A1098">
        <v>1097</v>
      </c>
      <c r="B1098" s="8">
        <v>45607</v>
      </c>
      <c r="C1098" t="s">
        <v>7</v>
      </c>
      <c r="D1098" t="s">
        <v>46</v>
      </c>
      <c r="E1098" t="s">
        <v>55</v>
      </c>
      <c r="F1098" t="s">
        <v>48</v>
      </c>
      <c r="G1098" t="s">
        <v>44</v>
      </c>
      <c r="H1098" t="s">
        <v>43</v>
      </c>
      <c r="I1098" t="s">
        <v>44</v>
      </c>
      <c r="J1098" t="s">
        <v>45</v>
      </c>
      <c r="K1098" s="9">
        <v>9</v>
      </c>
      <c r="L1098" s="10">
        <f>IFERROR(VLOOKUP(C1098,Parâmetros!$A$5:$D$7,IF(D1098="Mensal",2,IF(D1098="Trimestral",3,4)),0),0)</f>
        <v>14.99</v>
      </c>
      <c r="M1098" s="10">
        <f>IF(G1098="Sim",VLOOKUP("EA Play",Parâmetros!$A$11:$B$13,2,0),0)*K1098</f>
        <v>0</v>
      </c>
      <c r="N1098" s="10">
        <f>IF(H1098="Sim",VLOOKUP("Minecraft Pass",Parâmetros!$A$11:$B$13,2,0),0)*K1098</f>
        <v>35.910000000000004</v>
      </c>
      <c r="O1098" s="10">
        <f>IF(I1098="Sim",VLOOKUP("Call of Duty Pass",Parâmetros!$A$11:$B$13,2,0),0)*K1098</f>
        <v>0</v>
      </c>
      <c r="P1098" s="10">
        <f>(L1098*K1098+M1098+N1098+O1098)*IF(F1098="Promoção",1-Parâmetros!$B$22,1)</f>
        <v>170.82</v>
      </c>
      <c r="Q1098" s="10">
        <f>Parâmetros!$B$20*K1098</f>
        <v>108</v>
      </c>
      <c r="R1098" s="10">
        <f>P1098-Q1098</f>
        <v>62.819999999999993</v>
      </c>
    </row>
    <row r="1099" spans="1:18">
      <c r="A1099">
        <v>1098</v>
      </c>
      <c r="B1099" s="8">
        <v>45911</v>
      </c>
      <c r="C1099" t="s">
        <v>7</v>
      </c>
      <c r="D1099" t="s">
        <v>50</v>
      </c>
      <c r="E1099" t="s">
        <v>41</v>
      </c>
      <c r="F1099" t="s">
        <v>42</v>
      </c>
      <c r="G1099" t="s">
        <v>44</v>
      </c>
      <c r="H1099" t="s">
        <v>43</v>
      </c>
      <c r="I1099" t="s">
        <v>44</v>
      </c>
      <c r="J1099" t="s">
        <v>45</v>
      </c>
      <c r="K1099" s="9">
        <v>5</v>
      </c>
      <c r="L1099" s="10">
        <f>IFERROR(VLOOKUP(C1099,Parâmetros!$A$5:$D$7,IF(D1099="Mensal",2,IF(D1099="Trimestral",3,4)),0),0)</f>
        <v>149</v>
      </c>
      <c r="M1099" s="10">
        <f>IF(G1099="Sim",VLOOKUP("EA Play",Parâmetros!$A$11:$B$13,2,0),0)*K1099</f>
        <v>0</v>
      </c>
      <c r="N1099" s="10">
        <f>IF(H1099="Sim",VLOOKUP("Minecraft Pass",Parâmetros!$A$11:$B$13,2,0),0)*K1099</f>
        <v>19.950000000000003</v>
      </c>
      <c r="O1099" s="10">
        <f>IF(I1099="Sim",VLOOKUP("Call of Duty Pass",Parâmetros!$A$11:$B$13,2,0),0)*K1099</f>
        <v>0</v>
      </c>
      <c r="P1099" s="10">
        <f>(L1099*K1099+M1099+N1099+O1099)*IF(F1099="Promoção",1-Parâmetros!$B$22,1)</f>
        <v>764.95</v>
      </c>
      <c r="Q1099" s="10">
        <f>Parâmetros!$B$20*K1099</f>
        <v>60</v>
      </c>
      <c r="R1099" s="10">
        <f>P1099-Q1099</f>
        <v>704.95</v>
      </c>
    </row>
    <row r="1100" spans="1:18">
      <c r="A1100">
        <v>1099</v>
      </c>
      <c r="B1100" s="8">
        <v>45962</v>
      </c>
      <c r="C1100" t="s">
        <v>6</v>
      </c>
      <c r="D1100" t="s">
        <v>46</v>
      </c>
      <c r="E1100" t="s">
        <v>47</v>
      </c>
      <c r="F1100" t="s">
        <v>54</v>
      </c>
      <c r="G1100" t="s">
        <v>44</v>
      </c>
      <c r="H1100" t="s">
        <v>43</v>
      </c>
      <c r="I1100" t="s">
        <v>44</v>
      </c>
      <c r="J1100" t="s">
        <v>49</v>
      </c>
      <c r="K1100" s="9">
        <v>11</v>
      </c>
      <c r="L1100" s="10">
        <f>IFERROR(VLOOKUP(C1100,Parâmetros!$A$5:$D$7,IF(D1100="Mensal",2,IF(D1100="Trimestral",3,4)),0),0)</f>
        <v>9.99</v>
      </c>
      <c r="M1100" s="10">
        <f>IF(G1100="Sim",VLOOKUP("EA Play",Parâmetros!$A$11:$B$13,2,0),0)*K1100</f>
        <v>0</v>
      </c>
      <c r="N1100" s="10">
        <f>IF(H1100="Sim",VLOOKUP("Minecraft Pass",Parâmetros!$A$11:$B$13,2,0),0)*K1100</f>
        <v>43.89</v>
      </c>
      <c r="O1100" s="10">
        <f>IF(I1100="Sim",VLOOKUP("Call of Duty Pass",Parâmetros!$A$11:$B$13,2,0),0)*K1100</f>
        <v>0</v>
      </c>
      <c r="P1100" s="10">
        <f>(L1100*K1100+M1100+N1100+O1100)*IF(F1100="Promoção",1-Parâmetros!$B$22,1)</f>
        <v>138.40200000000002</v>
      </c>
      <c r="Q1100" s="10">
        <f>Parâmetros!$B$20*K1100</f>
        <v>132</v>
      </c>
      <c r="R1100" s="10">
        <f>P1100-Q1100</f>
        <v>6.4020000000000152</v>
      </c>
    </row>
    <row r="1101" spans="1:18">
      <c r="A1101">
        <v>1100</v>
      </c>
      <c r="B1101" s="8">
        <v>45674</v>
      </c>
      <c r="C1101" t="s">
        <v>6</v>
      </c>
      <c r="D1101" t="s">
        <v>46</v>
      </c>
      <c r="E1101" t="s">
        <v>51</v>
      </c>
      <c r="F1101" t="s">
        <v>54</v>
      </c>
      <c r="G1101" t="s">
        <v>43</v>
      </c>
      <c r="H1101" t="s">
        <v>43</v>
      </c>
      <c r="I1101" t="s">
        <v>44</v>
      </c>
      <c r="J1101" t="s">
        <v>49</v>
      </c>
      <c r="K1101" s="9">
        <v>26</v>
      </c>
      <c r="L1101" s="10">
        <f>IFERROR(VLOOKUP(C1101,Parâmetros!$A$5:$D$7,IF(D1101="Mensal",2,IF(D1101="Trimestral",3,4)),0),0)</f>
        <v>9.99</v>
      </c>
      <c r="M1101" s="10">
        <f>IF(G1101="Sim",VLOOKUP("EA Play",Parâmetros!$A$11:$B$13,2,0),0)*K1101</f>
        <v>129.74</v>
      </c>
      <c r="N1101" s="10">
        <f>IF(H1101="Sim",VLOOKUP("Minecraft Pass",Parâmetros!$A$11:$B$13,2,0),0)*K1101</f>
        <v>103.74000000000001</v>
      </c>
      <c r="O1101" s="10">
        <f>IF(I1101="Sim",VLOOKUP("Call of Duty Pass",Parâmetros!$A$11:$B$13,2,0),0)*K1101</f>
        <v>0</v>
      </c>
      <c r="P1101" s="10">
        <f>(L1101*K1101+M1101+N1101+O1101)*IF(F1101="Promoção",1-Parâmetros!$B$22,1)</f>
        <v>443.89800000000002</v>
      </c>
      <c r="Q1101" s="10">
        <f>Parâmetros!$B$20*K1101</f>
        <v>312</v>
      </c>
      <c r="R1101" s="10">
        <f>P1101-Q1101</f>
        <v>131.89800000000002</v>
      </c>
    </row>
    <row r="1102" spans="1:18">
      <c r="A1102">
        <v>1101</v>
      </c>
      <c r="B1102" s="8">
        <v>45788</v>
      </c>
      <c r="C1102" t="s">
        <v>6</v>
      </c>
      <c r="D1102" t="s">
        <v>46</v>
      </c>
      <c r="E1102" t="s">
        <v>41</v>
      </c>
      <c r="F1102" t="s">
        <v>52</v>
      </c>
      <c r="G1102" t="s">
        <v>44</v>
      </c>
      <c r="H1102" t="s">
        <v>43</v>
      </c>
      <c r="I1102" t="s">
        <v>44</v>
      </c>
      <c r="J1102" t="s">
        <v>45</v>
      </c>
      <c r="K1102" s="9">
        <v>25</v>
      </c>
      <c r="L1102" s="10">
        <f>IFERROR(VLOOKUP(C1102,Parâmetros!$A$5:$D$7,IF(D1102="Mensal",2,IF(D1102="Trimestral",3,4)),0),0)</f>
        <v>9.99</v>
      </c>
      <c r="M1102" s="10">
        <f>IF(G1102="Sim",VLOOKUP("EA Play",Parâmetros!$A$11:$B$13,2,0),0)*K1102</f>
        <v>0</v>
      </c>
      <c r="N1102" s="10">
        <f>IF(H1102="Sim",VLOOKUP("Minecraft Pass",Parâmetros!$A$11:$B$13,2,0),0)*K1102</f>
        <v>99.75</v>
      </c>
      <c r="O1102" s="10">
        <f>IF(I1102="Sim",VLOOKUP("Call of Duty Pass",Parâmetros!$A$11:$B$13,2,0),0)*K1102</f>
        <v>0</v>
      </c>
      <c r="P1102" s="10">
        <f>(L1102*K1102+M1102+N1102+O1102)*IF(F1102="Promoção",1-Parâmetros!$B$22,1)</f>
        <v>349.5</v>
      </c>
      <c r="Q1102" s="10">
        <f>Parâmetros!$B$20*K1102</f>
        <v>300</v>
      </c>
      <c r="R1102" s="10">
        <f>P1102-Q1102</f>
        <v>49.5</v>
      </c>
    </row>
    <row r="1103" spans="1:18">
      <c r="A1103">
        <v>1102</v>
      </c>
      <c r="B1103" s="8">
        <v>45963</v>
      </c>
      <c r="C1103" t="s">
        <v>7</v>
      </c>
      <c r="D1103" t="s">
        <v>50</v>
      </c>
      <c r="E1103" t="s">
        <v>55</v>
      </c>
      <c r="F1103" t="s">
        <v>54</v>
      </c>
      <c r="G1103" t="s">
        <v>43</v>
      </c>
      <c r="H1103" t="s">
        <v>44</v>
      </c>
      <c r="I1103" t="s">
        <v>44</v>
      </c>
      <c r="J1103" t="s">
        <v>45</v>
      </c>
      <c r="K1103" s="9">
        <v>2</v>
      </c>
      <c r="L1103" s="10">
        <f>IFERROR(VLOOKUP(C1103,Parâmetros!$A$5:$D$7,IF(D1103="Mensal",2,IF(D1103="Trimestral",3,4)),0),0)</f>
        <v>149</v>
      </c>
      <c r="M1103" s="10">
        <f>IF(G1103="Sim",VLOOKUP("EA Play",Parâmetros!$A$11:$B$13,2,0),0)*K1103</f>
        <v>9.98</v>
      </c>
      <c r="N1103" s="10">
        <f>IF(H1103="Sim",VLOOKUP("Minecraft Pass",Parâmetros!$A$11:$B$13,2,0),0)*K1103</f>
        <v>0</v>
      </c>
      <c r="O1103" s="10">
        <f>IF(I1103="Sim",VLOOKUP("Call of Duty Pass",Parâmetros!$A$11:$B$13,2,0),0)*K1103</f>
        <v>0</v>
      </c>
      <c r="P1103" s="10">
        <f>(L1103*K1103+M1103+N1103+O1103)*IF(F1103="Promoção",1-Parâmetros!$B$22,1)</f>
        <v>277.18200000000002</v>
      </c>
      <c r="Q1103" s="10">
        <f>Parâmetros!$B$20*K1103</f>
        <v>24</v>
      </c>
      <c r="R1103" s="10">
        <f>P1103-Q1103</f>
        <v>253.18200000000002</v>
      </c>
    </row>
    <row r="1104" spans="1:18">
      <c r="A1104">
        <v>1103</v>
      </c>
      <c r="B1104" s="8">
        <v>45307</v>
      </c>
      <c r="C1104" t="s">
        <v>7</v>
      </c>
      <c r="D1104" t="s">
        <v>40</v>
      </c>
      <c r="E1104" t="s">
        <v>55</v>
      </c>
      <c r="F1104" t="s">
        <v>42</v>
      </c>
      <c r="G1104" t="s">
        <v>44</v>
      </c>
      <c r="H1104" t="s">
        <v>43</v>
      </c>
      <c r="I1104" t="s">
        <v>44</v>
      </c>
      <c r="J1104" t="s">
        <v>45</v>
      </c>
      <c r="K1104" s="9">
        <v>21</v>
      </c>
      <c r="L1104" s="10">
        <f>IFERROR(VLOOKUP(C1104,Parâmetros!$A$5:$D$7,IF(D1104="Mensal",2,IF(D1104="Trimestral",3,4)),0),0)</f>
        <v>40</v>
      </c>
      <c r="M1104" s="10">
        <f>IF(G1104="Sim",VLOOKUP("EA Play",Parâmetros!$A$11:$B$13,2,0),0)*K1104</f>
        <v>0</v>
      </c>
      <c r="N1104" s="10">
        <f>IF(H1104="Sim",VLOOKUP("Minecraft Pass",Parâmetros!$A$11:$B$13,2,0),0)*K1104</f>
        <v>83.79</v>
      </c>
      <c r="O1104" s="10">
        <f>IF(I1104="Sim",VLOOKUP("Call of Duty Pass",Parâmetros!$A$11:$B$13,2,0),0)*K1104</f>
        <v>0</v>
      </c>
      <c r="P1104" s="10">
        <f>(L1104*K1104+M1104+N1104+O1104)*IF(F1104="Promoção",1-Parâmetros!$B$22,1)</f>
        <v>923.79</v>
      </c>
      <c r="Q1104" s="10">
        <f>Parâmetros!$B$20*K1104</f>
        <v>252</v>
      </c>
      <c r="R1104" s="10">
        <f>P1104-Q1104</f>
        <v>671.79</v>
      </c>
    </row>
    <row r="1105" spans="1:18">
      <c r="A1105">
        <v>1104</v>
      </c>
      <c r="B1105" s="8">
        <v>45727</v>
      </c>
      <c r="C1105" t="s">
        <v>7</v>
      </c>
      <c r="D1105" t="s">
        <v>46</v>
      </c>
      <c r="E1105" t="s">
        <v>41</v>
      </c>
      <c r="F1105" t="s">
        <v>42</v>
      </c>
      <c r="G1105" t="s">
        <v>43</v>
      </c>
      <c r="H1105" t="s">
        <v>44</v>
      </c>
      <c r="I1105" t="s">
        <v>44</v>
      </c>
      <c r="J1105" t="s">
        <v>49</v>
      </c>
      <c r="K1105" s="9">
        <v>6</v>
      </c>
      <c r="L1105" s="10">
        <f>IFERROR(VLOOKUP(C1105,Parâmetros!$A$5:$D$7,IF(D1105="Mensal",2,IF(D1105="Trimestral",3,4)),0),0)</f>
        <v>14.99</v>
      </c>
      <c r="M1105" s="10">
        <f>IF(G1105="Sim",VLOOKUP("EA Play",Parâmetros!$A$11:$B$13,2,0),0)*K1105</f>
        <v>29.94</v>
      </c>
      <c r="N1105" s="10">
        <f>IF(H1105="Sim",VLOOKUP("Minecraft Pass",Parâmetros!$A$11:$B$13,2,0),0)*K1105</f>
        <v>0</v>
      </c>
      <c r="O1105" s="10">
        <f>IF(I1105="Sim",VLOOKUP("Call of Duty Pass",Parâmetros!$A$11:$B$13,2,0),0)*K1105</f>
        <v>0</v>
      </c>
      <c r="P1105" s="10">
        <f>(L1105*K1105+M1105+N1105+O1105)*IF(F1105="Promoção",1-Parâmetros!$B$22,1)</f>
        <v>119.88</v>
      </c>
      <c r="Q1105" s="10">
        <f>Parâmetros!$B$20*K1105</f>
        <v>72</v>
      </c>
      <c r="R1105" s="10">
        <f>P1105-Q1105</f>
        <v>47.879999999999995</v>
      </c>
    </row>
    <row r="1106" spans="1:18">
      <c r="A1106">
        <v>1105</v>
      </c>
      <c r="B1106" s="8">
        <v>45519</v>
      </c>
      <c r="C1106" t="s">
        <v>8</v>
      </c>
      <c r="D1106" t="s">
        <v>40</v>
      </c>
      <c r="E1106" t="s">
        <v>47</v>
      </c>
      <c r="F1106" t="s">
        <v>54</v>
      </c>
      <c r="G1106" t="s">
        <v>44</v>
      </c>
      <c r="H1106" t="s">
        <v>43</v>
      </c>
      <c r="I1106" t="s">
        <v>43</v>
      </c>
      <c r="J1106" t="s">
        <v>49</v>
      </c>
      <c r="K1106" s="9">
        <v>26</v>
      </c>
      <c r="L1106" s="10">
        <f>IFERROR(VLOOKUP(C1106,Parâmetros!$A$5:$D$7,IF(D1106="Mensal",2,IF(D1106="Trimestral",3,4)),0),0)</f>
        <v>59</v>
      </c>
      <c r="M1106" s="10">
        <f>IF(G1106="Sim",VLOOKUP("EA Play",Parâmetros!$A$11:$B$13,2,0),0)*K1106</f>
        <v>0</v>
      </c>
      <c r="N1106" s="10">
        <f>IF(H1106="Sim",VLOOKUP("Minecraft Pass",Parâmetros!$A$11:$B$13,2,0),0)*K1106</f>
        <v>103.74000000000001</v>
      </c>
      <c r="O1106" s="10">
        <f>IF(I1106="Sim",VLOOKUP("Call of Duty Pass",Parâmetros!$A$11:$B$13,2,0),0)*K1106</f>
        <v>181.74</v>
      </c>
      <c r="P1106" s="10">
        <f>(L1106*K1106+M1106+N1106+O1106)*IF(F1106="Promoção",1-Parâmetros!$B$22,1)</f>
        <v>1637.5320000000002</v>
      </c>
      <c r="Q1106" s="10">
        <f>Parâmetros!$B$20*K1106</f>
        <v>312</v>
      </c>
      <c r="R1106" s="10">
        <f>P1106-Q1106</f>
        <v>1325.5320000000002</v>
      </c>
    </row>
    <row r="1107" spans="1:18">
      <c r="A1107">
        <v>1106</v>
      </c>
      <c r="B1107" s="8">
        <v>45673</v>
      </c>
      <c r="C1107" t="s">
        <v>8</v>
      </c>
      <c r="D1107" t="s">
        <v>40</v>
      </c>
      <c r="E1107" t="s">
        <v>47</v>
      </c>
      <c r="F1107" t="s">
        <v>48</v>
      </c>
      <c r="G1107" t="s">
        <v>43</v>
      </c>
      <c r="H1107" t="s">
        <v>44</v>
      </c>
      <c r="I1107" t="s">
        <v>44</v>
      </c>
      <c r="J1107" t="s">
        <v>49</v>
      </c>
      <c r="K1107" s="9">
        <v>7</v>
      </c>
      <c r="L1107" s="10">
        <f>IFERROR(VLOOKUP(C1107,Parâmetros!$A$5:$D$7,IF(D1107="Mensal",2,IF(D1107="Trimestral",3,4)),0),0)</f>
        <v>59</v>
      </c>
      <c r="M1107" s="10">
        <f>IF(G1107="Sim",VLOOKUP("EA Play",Parâmetros!$A$11:$B$13,2,0),0)*K1107</f>
        <v>34.93</v>
      </c>
      <c r="N1107" s="10">
        <f>IF(H1107="Sim",VLOOKUP("Minecraft Pass",Parâmetros!$A$11:$B$13,2,0),0)*K1107</f>
        <v>0</v>
      </c>
      <c r="O1107" s="10">
        <f>IF(I1107="Sim",VLOOKUP("Call of Duty Pass",Parâmetros!$A$11:$B$13,2,0),0)*K1107</f>
        <v>0</v>
      </c>
      <c r="P1107" s="10">
        <f>(L1107*K1107+M1107+N1107+O1107)*IF(F1107="Promoção",1-Parâmetros!$B$22,1)</f>
        <v>447.93</v>
      </c>
      <c r="Q1107" s="10">
        <f>Parâmetros!$B$20*K1107</f>
        <v>84</v>
      </c>
      <c r="R1107" s="10">
        <f>P1107-Q1107</f>
        <v>363.93</v>
      </c>
    </row>
    <row r="1108" spans="1:18">
      <c r="A1108">
        <v>1107</v>
      </c>
      <c r="B1108" s="8">
        <v>45950</v>
      </c>
      <c r="C1108" t="s">
        <v>6</v>
      </c>
      <c r="D1108" t="s">
        <v>46</v>
      </c>
      <c r="E1108" t="s">
        <v>47</v>
      </c>
      <c r="F1108" t="s">
        <v>42</v>
      </c>
      <c r="G1108" t="s">
        <v>44</v>
      </c>
      <c r="H1108" t="s">
        <v>43</v>
      </c>
      <c r="I1108" t="s">
        <v>44</v>
      </c>
      <c r="J1108" t="s">
        <v>45</v>
      </c>
      <c r="K1108" s="9">
        <v>6</v>
      </c>
      <c r="L1108" s="10">
        <f>IFERROR(VLOOKUP(C1108,Parâmetros!$A$5:$D$7,IF(D1108="Mensal",2,IF(D1108="Trimestral",3,4)),0),0)</f>
        <v>9.99</v>
      </c>
      <c r="M1108" s="10">
        <f>IF(G1108="Sim",VLOOKUP("EA Play",Parâmetros!$A$11:$B$13,2,0),0)*K1108</f>
        <v>0</v>
      </c>
      <c r="N1108" s="10">
        <f>IF(H1108="Sim",VLOOKUP("Minecraft Pass",Parâmetros!$A$11:$B$13,2,0),0)*K1108</f>
        <v>23.94</v>
      </c>
      <c r="O1108" s="10">
        <f>IF(I1108="Sim",VLOOKUP("Call of Duty Pass",Parâmetros!$A$11:$B$13,2,0),0)*K1108</f>
        <v>0</v>
      </c>
      <c r="P1108" s="10">
        <f>(L1108*K1108+M1108+N1108+O1108)*IF(F1108="Promoção",1-Parâmetros!$B$22,1)</f>
        <v>83.88</v>
      </c>
      <c r="Q1108" s="10">
        <f>Parâmetros!$B$20*K1108</f>
        <v>72</v>
      </c>
      <c r="R1108" s="10">
        <f>P1108-Q1108</f>
        <v>11.879999999999995</v>
      </c>
    </row>
    <row r="1109" spans="1:18">
      <c r="A1109">
        <v>1108</v>
      </c>
      <c r="B1109" s="8">
        <v>45436</v>
      </c>
      <c r="C1109" t="s">
        <v>7</v>
      </c>
      <c r="D1109" t="s">
        <v>50</v>
      </c>
      <c r="E1109" t="s">
        <v>47</v>
      </c>
      <c r="F1109" t="s">
        <v>54</v>
      </c>
      <c r="G1109" t="s">
        <v>44</v>
      </c>
      <c r="H1109" t="s">
        <v>43</v>
      </c>
      <c r="I1109" t="s">
        <v>44</v>
      </c>
      <c r="J1109" t="s">
        <v>49</v>
      </c>
      <c r="K1109" s="9">
        <v>22</v>
      </c>
      <c r="L1109" s="10">
        <f>IFERROR(VLOOKUP(C1109,Parâmetros!$A$5:$D$7,IF(D1109="Mensal",2,IF(D1109="Trimestral",3,4)),0),0)</f>
        <v>149</v>
      </c>
      <c r="M1109" s="10">
        <f>IF(G1109="Sim",VLOOKUP("EA Play",Parâmetros!$A$11:$B$13,2,0),0)*K1109</f>
        <v>0</v>
      </c>
      <c r="N1109" s="10">
        <f>IF(H1109="Sim",VLOOKUP("Minecraft Pass",Parâmetros!$A$11:$B$13,2,0),0)*K1109</f>
        <v>87.78</v>
      </c>
      <c r="O1109" s="10">
        <f>IF(I1109="Sim",VLOOKUP("Call of Duty Pass",Parâmetros!$A$11:$B$13,2,0),0)*K1109</f>
        <v>0</v>
      </c>
      <c r="P1109" s="10">
        <f>(L1109*K1109+M1109+N1109+O1109)*IF(F1109="Promoção",1-Parâmetros!$B$22,1)</f>
        <v>3029.2020000000002</v>
      </c>
      <c r="Q1109" s="10">
        <f>Parâmetros!$B$20*K1109</f>
        <v>264</v>
      </c>
      <c r="R1109" s="10">
        <f>P1109-Q1109</f>
        <v>2765.2020000000002</v>
      </c>
    </row>
    <row r="1110" spans="1:18">
      <c r="A1110">
        <v>1109</v>
      </c>
      <c r="B1110" s="8">
        <v>45446</v>
      </c>
      <c r="C1110" t="s">
        <v>6</v>
      </c>
      <c r="D1110" t="s">
        <v>40</v>
      </c>
      <c r="E1110" t="s">
        <v>47</v>
      </c>
      <c r="F1110" t="s">
        <v>54</v>
      </c>
      <c r="G1110" t="s">
        <v>43</v>
      </c>
      <c r="H1110" t="s">
        <v>43</v>
      </c>
      <c r="I1110" t="s">
        <v>44</v>
      </c>
      <c r="J1110" t="s">
        <v>49</v>
      </c>
      <c r="K1110" s="9">
        <v>32</v>
      </c>
      <c r="L1110" s="10">
        <f>IFERROR(VLOOKUP(C1110,Parâmetros!$A$5:$D$7,IF(D1110="Mensal",2,IF(D1110="Trimestral",3,4)),0),0)</f>
        <v>27</v>
      </c>
      <c r="M1110" s="10">
        <f>IF(G1110="Sim",VLOOKUP("EA Play",Parâmetros!$A$11:$B$13,2,0),0)*K1110</f>
        <v>159.68</v>
      </c>
      <c r="N1110" s="10">
        <f>IF(H1110="Sim",VLOOKUP("Minecraft Pass",Parâmetros!$A$11:$B$13,2,0),0)*K1110</f>
        <v>127.68</v>
      </c>
      <c r="O1110" s="10">
        <f>IF(I1110="Sim",VLOOKUP("Call of Duty Pass",Parâmetros!$A$11:$B$13,2,0),0)*K1110</f>
        <v>0</v>
      </c>
      <c r="P1110" s="10">
        <f>(L1110*K1110+M1110+N1110+O1110)*IF(F1110="Promoção",1-Parâmetros!$B$22,1)</f>
        <v>1036.2240000000002</v>
      </c>
      <c r="Q1110" s="10">
        <f>Parâmetros!$B$20*K1110</f>
        <v>384</v>
      </c>
      <c r="R1110" s="10">
        <f>P1110-Q1110</f>
        <v>652.22400000000016</v>
      </c>
    </row>
    <row r="1111" spans="1:18">
      <c r="A1111">
        <v>1110</v>
      </c>
      <c r="B1111" s="8">
        <v>45612</v>
      </c>
      <c r="C1111" t="s">
        <v>8</v>
      </c>
      <c r="D1111" t="s">
        <v>46</v>
      </c>
      <c r="E1111" t="s">
        <v>47</v>
      </c>
      <c r="F1111" t="s">
        <v>48</v>
      </c>
      <c r="G1111" t="s">
        <v>44</v>
      </c>
      <c r="H1111" t="s">
        <v>44</v>
      </c>
      <c r="I1111" t="s">
        <v>44</v>
      </c>
      <c r="J1111" t="s">
        <v>45</v>
      </c>
      <c r="K1111" s="9">
        <v>28</v>
      </c>
      <c r="L1111" s="10">
        <f>IFERROR(VLOOKUP(C1111,Parâmetros!$A$5:$D$7,IF(D1111="Mensal",2,IF(D1111="Trimestral",3,4)),0),0)</f>
        <v>21.99</v>
      </c>
      <c r="M1111" s="10">
        <f>IF(G1111="Sim",VLOOKUP("EA Play",Parâmetros!$A$11:$B$13,2,0),0)*K1111</f>
        <v>0</v>
      </c>
      <c r="N1111" s="10">
        <f>IF(H1111="Sim",VLOOKUP("Minecraft Pass",Parâmetros!$A$11:$B$13,2,0),0)*K1111</f>
        <v>0</v>
      </c>
      <c r="O1111" s="10">
        <f>IF(I1111="Sim",VLOOKUP("Call of Duty Pass",Parâmetros!$A$11:$B$13,2,0),0)*K1111</f>
        <v>0</v>
      </c>
      <c r="P1111" s="10">
        <f>(L1111*K1111+M1111+N1111+O1111)*IF(F1111="Promoção",1-Parâmetros!$B$22,1)</f>
        <v>615.71999999999991</v>
      </c>
      <c r="Q1111" s="10">
        <f>Parâmetros!$B$20*K1111</f>
        <v>336</v>
      </c>
      <c r="R1111" s="10">
        <f>P1111-Q1111</f>
        <v>279.71999999999991</v>
      </c>
    </row>
    <row r="1112" spans="1:18">
      <c r="A1112">
        <v>1111</v>
      </c>
      <c r="B1112" s="8">
        <v>46008</v>
      </c>
      <c r="C1112" t="s">
        <v>6</v>
      </c>
      <c r="D1112" t="s">
        <v>46</v>
      </c>
      <c r="E1112" t="s">
        <v>41</v>
      </c>
      <c r="F1112" t="s">
        <v>48</v>
      </c>
      <c r="G1112" t="s">
        <v>43</v>
      </c>
      <c r="H1112" t="s">
        <v>43</v>
      </c>
      <c r="I1112" t="s">
        <v>44</v>
      </c>
      <c r="J1112" t="s">
        <v>49</v>
      </c>
      <c r="K1112" s="9">
        <v>28</v>
      </c>
      <c r="L1112" s="10">
        <f>IFERROR(VLOOKUP(C1112,Parâmetros!$A$5:$D$7,IF(D1112="Mensal",2,IF(D1112="Trimestral",3,4)),0),0)</f>
        <v>9.99</v>
      </c>
      <c r="M1112" s="10">
        <f>IF(G1112="Sim",VLOOKUP("EA Play",Parâmetros!$A$11:$B$13,2,0),0)*K1112</f>
        <v>139.72</v>
      </c>
      <c r="N1112" s="10">
        <f>IF(H1112="Sim",VLOOKUP("Minecraft Pass",Parâmetros!$A$11:$B$13,2,0),0)*K1112</f>
        <v>111.72</v>
      </c>
      <c r="O1112" s="10">
        <f>IF(I1112="Sim",VLOOKUP("Call of Duty Pass",Parâmetros!$A$11:$B$13,2,0),0)*K1112</f>
        <v>0</v>
      </c>
      <c r="P1112" s="10">
        <f>(L1112*K1112+M1112+N1112+O1112)*IF(F1112="Promoção",1-Parâmetros!$B$22,1)</f>
        <v>531.16000000000008</v>
      </c>
      <c r="Q1112" s="10">
        <f>Parâmetros!$B$20*K1112</f>
        <v>336</v>
      </c>
      <c r="R1112" s="10">
        <f>P1112-Q1112</f>
        <v>195.16000000000008</v>
      </c>
    </row>
    <row r="1113" spans="1:18">
      <c r="A1113">
        <v>1112</v>
      </c>
      <c r="B1113" s="8">
        <v>45799</v>
      </c>
      <c r="C1113" t="s">
        <v>6</v>
      </c>
      <c r="D1113" t="s">
        <v>50</v>
      </c>
      <c r="E1113" t="s">
        <v>47</v>
      </c>
      <c r="F1113" t="s">
        <v>52</v>
      </c>
      <c r="G1113" t="s">
        <v>44</v>
      </c>
      <c r="H1113" t="s">
        <v>43</v>
      </c>
      <c r="I1113" t="s">
        <v>43</v>
      </c>
      <c r="J1113" t="s">
        <v>49</v>
      </c>
      <c r="K1113" s="9">
        <v>19</v>
      </c>
      <c r="L1113" s="10">
        <f>IFERROR(VLOOKUP(C1113,Parâmetros!$A$5:$D$7,IF(D1113="Mensal",2,IF(D1113="Trimestral",3,4)),0),0)</f>
        <v>99</v>
      </c>
      <c r="M1113" s="10">
        <f>IF(G1113="Sim",VLOOKUP("EA Play",Parâmetros!$A$11:$B$13,2,0),0)*K1113</f>
        <v>0</v>
      </c>
      <c r="N1113" s="10">
        <f>IF(H1113="Sim",VLOOKUP("Minecraft Pass",Parâmetros!$A$11:$B$13,2,0),0)*K1113</f>
        <v>75.81</v>
      </c>
      <c r="O1113" s="10">
        <f>IF(I1113="Sim",VLOOKUP("Call of Duty Pass",Parâmetros!$A$11:$B$13,2,0),0)*K1113</f>
        <v>132.81</v>
      </c>
      <c r="P1113" s="10">
        <f>(L1113*K1113+M1113+N1113+O1113)*IF(F1113="Promoção",1-Parâmetros!$B$22,1)</f>
        <v>2089.62</v>
      </c>
      <c r="Q1113" s="10">
        <f>Parâmetros!$B$20*K1113</f>
        <v>228</v>
      </c>
      <c r="R1113" s="10">
        <f>P1113-Q1113</f>
        <v>1861.62</v>
      </c>
    </row>
    <row r="1114" spans="1:18">
      <c r="A1114">
        <v>1113</v>
      </c>
      <c r="B1114" s="8">
        <v>45984</v>
      </c>
      <c r="C1114" t="s">
        <v>6</v>
      </c>
      <c r="D1114" t="s">
        <v>46</v>
      </c>
      <c r="E1114" t="s">
        <v>55</v>
      </c>
      <c r="F1114" t="s">
        <v>48</v>
      </c>
      <c r="G1114" t="s">
        <v>43</v>
      </c>
      <c r="H1114" t="s">
        <v>43</v>
      </c>
      <c r="I1114" t="s">
        <v>44</v>
      </c>
      <c r="J1114" t="s">
        <v>45</v>
      </c>
      <c r="K1114" s="9">
        <v>24</v>
      </c>
      <c r="L1114" s="10">
        <f>IFERROR(VLOOKUP(C1114,Parâmetros!$A$5:$D$7,IF(D1114="Mensal",2,IF(D1114="Trimestral",3,4)),0),0)</f>
        <v>9.99</v>
      </c>
      <c r="M1114" s="10">
        <f>IF(G1114="Sim",VLOOKUP("EA Play",Parâmetros!$A$11:$B$13,2,0),0)*K1114</f>
        <v>119.76</v>
      </c>
      <c r="N1114" s="10">
        <f>IF(H1114="Sim",VLOOKUP("Minecraft Pass",Parâmetros!$A$11:$B$13,2,0),0)*K1114</f>
        <v>95.76</v>
      </c>
      <c r="O1114" s="10">
        <f>IF(I1114="Sim",VLOOKUP("Call of Duty Pass",Parâmetros!$A$11:$B$13,2,0),0)*K1114</f>
        <v>0</v>
      </c>
      <c r="P1114" s="10">
        <f>(L1114*K1114+M1114+N1114+O1114)*IF(F1114="Promoção",1-Parâmetros!$B$22,1)</f>
        <v>455.28</v>
      </c>
      <c r="Q1114" s="10">
        <f>Parâmetros!$B$20*K1114</f>
        <v>288</v>
      </c>
      <c r="R1114" s="10">
        <f>P1114-Q1114</f>
        <v>167.27999999999997</v>
      </c>
    </row>
    <row r="1115" spans="1:18">
      <c r="A1115">
        <v>1114</v>
      </c>
      <c r="B1115" s="8">
        <v>45823</v>
      </c>
      <c r="C1115" t="s">
        <v>7</v>
      </c>
      <c r="D1115" t="s">
        <v>46</v>
      </c>
      <c r="E1115" t="s">
        <v>41</v>
      </c>
      <c r="F1115" t="s">
        <v>42</v>
      </c>
      <c r="G1115" t="s">
        <v>44</v>
      </c>
      <c r="H1115" t="s">
        <v>44</v>
      </c>
      <c r="I1115" t="s">
        <v>44</v>
      </c>
      <c r="J1115" t="s">
        <v>49</v>
      </c>
      <c r="K1115" s="9">
        <v>31</v>
      </c>
      <c r="L1115" s="10">
        <f>IFERROR(VLOOKUP(C1115,Parâmetros!$A$5:$D$7,IF(D1115="Mensal",2,IF(D1115="Trimestral",3,4)),0),0)</f>
        <v>14.99</v>
      </c>
      <c r="M1115" s="10">
        <f>IF(G1115="Sim",VLOOKUP("EA Play",Parâmetros!$A$11:$B$13,2,0),0)*K1115</f>
        <v>0</v>
      </c>
      <c r="N1115" s="10">
        <f>IF(H1115="Sim",VLOOKUP("Minecraft Pass",Parâmetros!$A$11:$B$13,2,0),0)*K1115</f>
        <v>0</v>
      </c>
      <c r="O1115" s="10">
        <f>IF(I1115="Sim",VLOOKUP("Call of Duty Pass",Parâmetros!$A$11:$B$13,2,0),0)*K1115</f>
        <v>0</v>
      </c>
      <c r="P1115" s="10">
        <f>(L1115*K1115+M1115+N1115+O1115)*IF(F1115="Promoção",1-Parâmetros!$B$22,1)</f>
        <v>464.69</v>
      </c>
      <c r="Q1115" s="10">
        <f>Parâmetros!$B$20*K1115</f>
        <v>372</v>
      </c>
      <c r="R1115" s="10">
        <f>P1115-Q1115</f>
        <v>92.69</v>
      </c>
    </row>
    <row r="1116" spans="1:18">
      <c r="A1116">
        <v>1115</v>
      </c>
      <c r="B1116" s="8">
        <v>45302</v>
      </c>
      <c r="C1116" t="s">
        <v>6</v>
      </c>
      <c r="D1116" t="s">
        <v>46</v>
      </c>
      <c r="E1116" t="s">
        <v>47</v>
      </c>
      <c r="F1116" t="s">
        <v>54</v>
      </c>
      <c r="G1116" t="s">
        <v>43</v>
      </c>
      <c r="H1116" t="s">
        <v>44</v>
      </c>
      <c r="I1116" t="s">
        <v>43</v>
      </c>
      <c r="J1116" t="s">
        <v>49</v>
      </c>
      <c r="K1116" s="9">
        <v>30</v>
      </c>
      <c r="L1116" s="10">
        <f>IFERROR(VLOOKUP(C1116,Parâmetros!$A$5:$D$7,IF(D1116="Mensal",2,IF(D1116="Trimestral",3,4)),0),0)</f>
        <v>9.99</v>
      </c>
      <c r="M1116" s="10">
        <f>IF(G1116="Sim",VLOOKUP("EA Play",Parâmetros!$A$11:$B$13,2,0),0)*K1116</f>
        <v>149.70000000000002</v>
      </c>
      <c r="N1116" s="10">
        <f>IF(H1116="Sim",VLOOKUP("Minecraft Pass",Parâmetros!$A$11:$B$13,2,0),0)*K1116</f>
        <v>0</v>
      </c>
      <c r="O1116" s="10">
        <f>IF(I1116="Sim",VLOOKUP("Call of Duty Pass",Parâmetros!$A$11:$B$13,2,0),0)*K1116</f>
        <v>209.70000000000002</v>
      </c>
      <c r="P1116" s="10">
        <f>(L1116*K1116+M1116+N1116+O1116)*IF(F1116="Promoção",1-Parâmetros!$B$22,1)</f>
        <v>593.19000000000005</v>
      </c>
      <c r="Q1116" s="10">
        <f>Parâmetros!$B$20*K1116</f>
        <v>360</v>
      </c>
      <c r="R1116" s="10">
        <f>P1116-Q1116</f>
        <v>233.19000000000005</v>
      </c>
    </row>
    <row r="1117" spans="1:18">
      <c r="A1117">
        <v>1116</v>
      </c>
      <c r="B1117" s="8">
        <v>45630</v>
      </c>
      <c r="C1117" t="s">
        <v>6</v>
      </c>
      <c r="D1117" t="s">
        <v>40</v>
      </c>
      <c r="E1117" t="s">
        <v>47</v>
      </c>
      <c r="F1117" t="s">
        <v>42</v>
      </c>
      <c r="G1117" t="s">
        <v>44</v>
      </c>
      <c r="H1117" t="s">
        <v>44</v>
      </c>
      <c r="I1117" t="s">
        <v>44</v>
      </c>
      <c r="J1117" t="s">
        <v>49</v>
      </c>
      <c r="K1117" s="9">
        <v>13</v>
      </c>
      <c r="L1117" s="10">
        <f>IFERROR(VLOOKUP(C1117,Parâmetros!$A$5:$D$7,IF(D1117="Mensal",2,IF(D1117="Trimestral",3,4)),0),0)</f>
        <v>27</v>
      </c>
      <c r="M1117" s="10">
        <f>IF(G1117="Sim",VLOOKUP("EA Play",Parâmetros!$A$11:$B$13,2,0),0)*K1117</f>
        <v>0</v>
      </c>
      <c r="N1117" s="10">
        <f>IF(H1117="Sim",VLOOKUP("Minecraft Pass",Parâmetros!$A$11:$B$13,2,0),0)*K1117</f>
        <v>0</v>
      </c>
      <c r="O1117" s="10">
        <f>IF(I1117="Sim",VLOOKUP("Call of Duty Pass",Parâmetros!$A$11:$B$13,2,0),0)*K1117</f>
        <v>0</v>
      </c>
      <c r="P1117" s="10">
        <f>(L1117*K1117+M1117+N1117+O1117)*IF(F1117="Promoção",1-Parâmetros!$B$22,1)</f>
        <v>351</v>
      </c>
      <c r="Q1117" s="10">
        <f>Parâmetros!$B$20*K1117</f>
        <v>156</v>
      </c>
      <c r="R1117" s="10">
        <f>P1117-Q1117</f>
        <v>195</v>
      </c>
    </row>
    <row r="1118" spans="1:18">
      <c r="A1118">
        <v>1117</v>
      </c>
      <c r="B1118" s="8">
        <v>45573</v>
      </c>
      <c r="C1118" t="s">
        <v>6</v>
      </c>
      <c r="D1118" t="s">
        <v>50</v>
      </c>
      <c r="E1118" t="s">
        <v>47</v>
      </c>
      <c r="F1118" t="s">
        <v>52</v>
      </c>
      <c r="G1118" t="s">
        <v>43</v>
      </c>
      <c r="H1118" t="s">
        <v>44</v>
      </c>
      <c r="I1118" t="s">
        <v>44</v>
      </c>
      <c r="J1118" t="s">
        <v>45</v>
      </c>
      <c r="K1118" s="9">
        <v>13</v>
      </c>
      <c r="L1118" s="10">
        <f>IFERROR(VLOOKUP(C1118,Parâmetros!$A$5:$D$7,IF(D1118="Mensal",2,IF(D1118="Trimestral",3,4)),0),0)</f>
        <v>99</v>
      </c>
      <c r="M1118" s="10">
        <f>IF(G1118="Sim",VLOOKUP("EA Play",Parâmetros!$A$11:$B$13,2,0),0)*K1118</f>
        <v>64.87</v>
      </c>
      <c r="N1118" s="10">
        <f>IF(H1118="Sim",VLOOKUP("Minecraft Pass",Parâmetros!$A$11:$B$13,2,0),0)*K1118</f>
        <v>0</v>
      </c>
      <c r="O1118" s="10">
        <f>IF(I1118="Sim",VLOOKUP("Call of Duty Pass",Parâmetros!$A$11:$B$13,2,0),0)*K1118</f>
        <v>0</v>
      </c>
      <c r="P1118" s="10">
        <f>(L1118*K1118+M1118+N1118+O1118)*IF(F1118="Promoção",1-Parâmetros!$B$22,1)</f>
        <v>1351.87</v>
      </c>
      <c r="Q1118" s="10">
        <f>Parâmetros!$B$20*K1118</f>
        <v>156</v>
      </c>
      <c r="R1118" s="10">
        <f>P1118-Q1118</f>
        <v>1195.8699999999999</v>
      </c>
    </row>
    <row r="1119" spans="1:18">
      <c r="A1119">
        <v>1118</v>
      </c>
      <c r="B1119" s="8">
        <v>45371</v>
      </c>
      <c r="C1119" t="s">
        <v>7</v>
      </c>
      <c r="D1119" t="s">
        <v>46</v>
      </c>
      <c r="E1119" t="s">
        <v>41</v>
      </c>
      <c r="F1119" t="s">
        <v>42</v>
      </c>
      <c r="G1119" t="s">
        <v>44</v>
      </c>
      <c r="H1119" t="s">
        <v>43</v>
      </c>
      <c r="I1119" t="s">
        <v>44</v>
      </c>
      <c r="J1119" t="s">
        <v>45</v>
      </c>
      <c r="K1119" s="9">
        <v>25</v>
      </c>
      <c r="L1119" s="10">
        <f>IFERROR(VLOOKUP(C1119,Parâmetros!$A$5:$D$7,IF(D1119="Mensal",2,IF(D1119="Trimestral",3,4)),0),0)</f>
        <v>14.99</v>
      </c>
      <c r="M1119" s="10">
        <f>IF(G1119="Sim",VLOOKUP("EA Play",Parâmetros!$A$11:$B$13,2,0),0)*K1119</f>
        <v>0</v>
      </c>
      <c r="N1119" s="10">
        <f>IF(H1119="Sim",VLOOKUP("Minecraft Pass",Parâmetros!$A$11:$B$13,2,0),0)*K1119</f>
        <v>99.75</v>
      </c>
      <c r="O1119" s="10">
        <f>IF(I1119="Sim",VLOOKUP("Call of Duty Pass",Parâmetros!$A$11:$B$13,2,0),0)*K1119</f>
        <v>0</v>
      </c>
      <c r="P1119" s="10">
        <f>(L1119*K1119+M1119+N1119+O1119)*IF(F1119="Promoção",1-Parâmetros!$B$22,1)</f>
        <v>474.5</v>
      </c>
      <c r="Q1119" s="10">
        <f>Parâmetros!$B$20*K1119</f>
        <v>300</v>
      </c>
      <c r="R1119" s="10">
        <f>P1119-Q1119</f>
        <v>174.5</v>
      </c>
    </row>
    <row r="1120" spans="1:18">
      <c r="A1120">
        <v>1119</v>
      </c>
      <c r="B1120" s="8">
        <v>45630</v>
      </c>
      <c r="C1120" t="s">
        <v>7</v>
      </c>
      <c r="D1120" t="s">
        <v>50</v>
      </c>
      <c r="E1120" t="s">
        <v>47</v>
      </c>
      <c r="F1120" t="s">
        <v>54</v>
      </c>
      <c r="G1120" t="s">
        <v>44</v>
      </c>
      <c r="H1120" t="s">
        <v>44</v>
      </c>
      <c r="I1120" t="s">
        <v>44</v>
      </c>
      <c r="J1120" t="s">
        <v>49</v>
      </c>
      <c r="K1120" s="9">
        <v>1</v>
      </c>
      <c r="L1120" s="10">
        <f>IFERROR(VLOOKUP(C1120,Parâmetros!$A$5:$D$7,IF(D1120="Mensal",2,IF(D1120="Trimestral",3,4)),0),0)</f>
        <v>149</v>
      </c>
      <c r="M1120" s="10">
        <f>IF(G1120="Sim",VLOOKUP("EA Play",Parâmetros!$A$11:$B$13,2,0),0)*K1120</f>
        <v>0</v>
      </c>
      <c r="N1120" s="10">
        <f>IF(H1120="Sim",VLOOKUP("Minecraft Pass",Parâmetros!$A$11:$B$13,2,0),0)*K1120</f>
        <v>0</v>
      </c>
      <c r="O1120" s="10">
        <f>IF(I1120="Sim",VLOOKUP("Call of Duty Pass",Parâmetros!$A$11:$B$13,2,0),0)*K1120</f>
        <v>0</v>
      </c>
      <c r="P1120" s="10">
        <f>(L1120*K1120+M1120+N1120+O1120)*IF(F1120="Promoção",1-Parâmetros!$B$22,1)</f>
        <v>134.1</v>
      </c>
      <c r="Q1120" s="10">
        <f>Parâmetros!$B$20*K1120</f>
        <v>12</v>
      </c>
      <c r="R1120" s="10">
        <f>P1120-Q1120</f>
        <v>122.1</v>
      </c>
    </row>
    <row r="1121" spans="1:18">
      <c r="A1121">
        <v>1120</v>
      </c>
      <c r="B1121" s="8">
        <v>45529</v>
      </c>
      <c r="C1121" t="s">
        <v>8</v>
      </c>
      <c r="D1121" t="s">
        <v>46</v>
      </c>
      <c r="E1121" t="s">
        <v>51</v>
      </c>
      <c r="F1121" t="s">
        <v>42</v>
      </c>
      <c r="G1121" t="s">
        <v>43</v>
      </c>
      <c r="H1121" t="s">
        <v>44</v>
      </c>
      <c r="I1121" t="s">
        <v>44</v>
      </c>
      <c r="J1121" t="s">
        <v>45</v>
      </c>
      <c r="K1121" s="9">
        <v>4</v>
      </c>
      <c r="L1121" s="10">
        <f>IFERROR(VLOOKUP(C1121,Parâmetros!$A$5:$D$7,IF(D1121="Mensal",2,IF(D1121="Trimestral",3,4)),0),0)</f>
        <v>21.99</v>
      </c>
      <c r="M1121" s="10">
        <f>IF(G1121="Sim",VLOOKUP("EA Play",Parâmetros!$A$11:$B$13,2,0),0)*K1121</f>
        <v>19.96</v>
      </c>
      <c r="N1121" s="10">
        <f>IF(H1121="Sim",VLOOKUP("Minecraft Pass",Parâmetros!$A$11:$B$13,2,0),0)*K1121</f>
        <v>0</v>
      </c>
      <c r="O1121" s="10">
        <f>IF(I1121="Sim",VLOOKUP("Call of Duty Pass",Parâmetros!$A$11:$B$13,2,0),0)*K1121</f>
        <v>0</v>
      </c>
      <c r="P1121" s="10">
        <f>(L1121*K1121+M1121+N1121+O1121)*IF(F1121="Promoção",1-Parâmetros!$B$22,1)</f>
        <v>107.91999999999999</v>
      </c>
      <c r="Q1121" s="10">
        <f>Parâmetros!$B$20*K1121</f>
        <v>48</v>
      </c>
      <c r="R1121" s="10">
        <f>P1121-Q1121</f>
        <v>59.919999999999987</v>
      </c>
    </row>
    <row r="1122" spans="1:18">
      <c r="A1122">
        <v>1121</v>
      </c>
      <c r="B1122" s="8">
        <v>45432</v>
      </c>
      <c r="C1122" t="s">
        <v>7</v>
      </c>
      <c r="D1122" t="s">
        <v>46</v>
      </c>
      <c r="E1122" t="s">
        <v>51</v>
      </c>
      <c r="F1122" t="s">
        <v>42</v>
      </c>
      <c r="G1122" t="s">
        <v>44</v>
      </c>
      <c r="H1122" t="s">
        <v>43</v>
      </c>
      <c r="I1122" t="s">
        <v>44</v>
      </c>
      <c r="J1122" t="s">
        <v>49</v>
      </c>
      <c r="K1122" s="9">
        <v>25</v>
      </c>
      <c r="L1122" s="10">
        <f>IFERROR(VLOOKUP(C1122,Parâmetros!$A$5:$D$7,IF(D1122="Mensal",2,IF(D1122="Trimestral",3,4)),0),0)</f>
        <v>14.99</v>
      </c>
      <c r="M1122" s="10">
        <f>IF(G1122="Sim",VLOOKUP("EA Play",Parâmetros!$A$11:$B$13,2,0),0)*K1122</f>
        <v>0</v>
      </c>
      <c r="N1122" s="10">
        <f>IF(H1122="Sim",VLOOKUP("Minecraft Pass",Parâmetros!$A$11:$B$13,2,0),0)*K1122</f>
        <v>99.75</v>
      </c>
      <c r="O1122" s="10">
        <f>IF(I1122="Sim",VLOOKUP("Call of Duty Pass",Parâmetros!$A$11:$B$13,2,0),0)*K1122</f>
        <v>0</v>
      </c>
      <c r="P1122" s="10">
        <f>(L1122*K1122+M1122+N1122+O1122)*IF(F1122="Promoção",1-Parâmetros!$B$22,1)</f>
        <v>474.5</v>
      </c>
      <c r="Q1122" s="10">
        <f>Parâmetros!$B$20*K1122</f>
        <v>300</v>
      </c>
      <c r="R1122" s="10">
        <f>P1122-Q1122</f>
        <v>174.5</v>
      </c>
    </row>
    <row r="1123" spans="1:18">
      <c r="A1123">
        <v>1122</v>
      </c>
      <c r="B1123" s="8">
        <v>46015</v>
      </c>
      <c r="C1123" t="s">
        <v>7</v>
      </c>
      <c r="D1123" t="s">
        <v>46</v>
      </c>
      <c r="E1123" t="s">
        <v>47</v>
      </c>
      <c r="F1123" t="s">
        <v>48</v>
      </c>
      <c r="G1123" t="s">
        <v>44</v>
      </c>
      <c r="H1123" t="s">
        <v>44</v>
      </c>
      <c r="I1123" t="s">
        <v>44</v>
      </c>
      <c r="J1123" t="s">
        <v>45</v>
      </c>
      <c r="K1123" s="9">
        <v>18</v>
      </c>
      <c r="L1123" s="10">
        <f>IFERROR(VLOOKUP(C1123,Parâmetros!$A$5:$D$7,IF(D1123="Mensal",2,IF(D1123="Trimestral",3,4)),0),0)</f>
        <v>14.99</v>
      </c>
      <c r="M1123" s="10">
        <f>IF(G1123="Sim",VLOOKUP("EA Play",Parâmetros!$A$11:$B$13,2,0),0)*K1123</f>
        <v>0</v>
      </c>
      <c r="N1123" s="10">
        <f>IF(H1123="Sim",VLOOKUP("Minecraft Pass",Parâmetros!$A$11:$B$13,2,0),0)*K1123</f>
        <v>0</v>
      </c>
      <c r="O1123" s="10">
        <f>IF(I1123="Sim",VLOOKUP("Call of Duty Pass",Parâmetros!$A$11:$B$13,2,0),0)*K1123</f>
        <v>0</v>
      </c>
      <c r="P1123" s="10">
        <f>(L1123*K1123+M1123+N1123+O1123)*IF(F1123="Promoção",1-Parâmetros!$B$22,1)</f>
        <v>269.82</v>
      </c>
      <c r="Q1123" s="10">
        <f>Parâmetros!$B$20*K1123</f>
        <v>216</v>
      </c>
      <c r="R1123" s="10">
        <f>P1123-Q1123</f>
        <v>53.819999999999993</v>
      </c>
    </row>
    <row r="1124" spans="1:18">
      <c r="A1124">
        <v>1123</v>
      </c>
      <c r="B1124" s="8">
        <v>46020</v>
      </c>
      <c r="C1124" t="s">
        <v>6</v>
      </c>
      <c r="D1124" t="s">
        <v>46</v>
      </c>
      <c r="E1124" t="s">
        <v>47</v>
      </c>
      <c r="F1124" t="s">
        <v>52</v>
      </c>
      <c r="G1124" t="s">
        <v>43</v>
      </c>
      <c r="H1124" t="s">
        <v>43</v>
      </c>
      <c r="I1124" t="s">
        <v>44</v>
      </c>
      <c r="J1124" t="s">
        <v>45</v>
      </c>
      <c r="K1124" s="9">
        <v>12</v>
      </c>
      <c r="L1124" s="10">
        <f>IFERROR(VLOOKUP(C1124,Parâmetros!$A$5:$D$7,IF(D1124="Mensal",2,IF(D1124="Trimestral",3,4)),0),0)</f>
        <v>9.99</v>
      </c>
      <c r="M1124" s="10">
        <f>IF(G1124="Sim",VLOOKUP("EA Play",Parâmetros!$A$11:$B$13,2,0),0)*K1124</f>
        <v>59.88</v>
      </c>
      <c r="N1124" s="10">
        <f>IF(H1124="Sim",VLOOKUP("Minecraft Pass",Parâmetros!$A$11:$B$13,2,0),0)*K1124</f>
        <v>47.88</v>
      </c>
      <c r="O1124" s="10">
        <f>IF(I1124="Sim",VLOOKUP("Call of Duty Pass",Parâmetros!$A$11:$B$13,2,0),0)*K1124</f>
        <v>0</v>
      </c>
      <c r="P1124" s="10">
        <f>(L1124*K1124+M1124+N1124+O1124)*IF(F1124="Promoção",1-Parâmetros!$B$22,1)</f>
        <v>227.64</v>
      </c>
      <c r="Q1124" s="10">
        <f>Parâmetros!$B$20*K1124</f>
        <v>144</v>
      </c>
      <c r="R1124" s="10">
        <f>P1124-Q1124</f>
        <v>83.639999999999986</v>
      </c>
    </row>
    <row r="1125" spans="1:18">
      <c r="A1125">
        <v>1124</v>
      </c>
      <c r="B1125" s="8">
        <v>45317</v>
      </c>
      <c r="C1125" t="s">
        <v>8</v>
      </c>
      <c r="D1125" t="s">
        <v>50</v>
      </c>
      <c r="E1125" t="s">
        <v>51</v>
      </c>
      <c r="F1125" t="s">
        <v>42</v>
      </c>
      <c r="G1125" t="s">
        <v>43</v>
      </c>
      <c r="H1125" t="s">
        <v>44</v>
      </c>
      <c r="I1125" t="s">
        <v>44</v>
      </c>
      <c r="J1125" t="s">
        <v>45</v>
      </c>
      <c r="K1125" s="9">
        <v>13</v>
      </c>
      <c r="L1125" s="10">
        <f>IFERROR(VLOOKUP(C1125,Parâmetros!$A$5:$D$7,IF(D1125="Mensal",2,IF(D1125="Trimestral",3,4)),0),0)</f>
        <v>219</v>
      </c>
      <c r="M1125" s="10">
        <f>IF(G1125="Sim",VLOOKUP("EA Play",Parâmetros!$A$11:$B$13,2,0),0)*K1125</f>
        <v>64.87</v>
      </c>
      <c r="N1125" s="10">
        <f>IF(H1125="Sim",VLOOKUP("Minecraft Pass",Parâmetros!$A$11:$B$13,2,0),0)*K1125</f>
        <v>0</v>
      </c>
      <c r="O1125" s="10">
        <f>IF(I1125="Sim",VLOOKUP("Call of Duty Pass",Parâmetros!$A$11:$B$13,2,0),0)*K1125</f>
        <v>0</v>
      </c>
      <c r="P1125" s="10">
        <f>(L1125*K1125+M1125+N1125+O1125)*IF(F1125="Promoção",1-Parâmetros!$B$22,1)</f>
        <v>2911.87</v>
      </c>
      <c r="Q1125" s="10">
        <f>Parâmetros!$B$20*K1125</f>
        <v>156</v>
      </c>
      <c r="R1125" s="10">
        <f>P1125-Q1125</f>
        <v>2755.87</v>
      </c>
    </row>
    <row r="1126" spans="1:18">
      <c r="A1126">
        <v>1125</v>
      </c>
      <c r="B1126" s="8">
        <v>45683</v>
      </c>
      <c r="C1126" t="s">
        <v>6</v>
      </c>
      <c r="D1126" t="s">
        <v>50</v>
      </c>
      <c r="E1126" t="s">
        <v>53</v>
      </c>
      <c r="F1126" t="s">
        <v>42</v>
      </c>
      <c r="G1126" t="s">
        <v>43</v>
      </c>
      <c r="H1126" t="s">
        <v>43</v>
      </c>
      <c r="I1126" t="s">
        <v>44</v>
      </c>
      <c r="J1126" t="s">
        <v>49</v>
      </c>
      <c r="K1126" s="9">
        <v>24</v>
      </c>
      <c r="L1126" s="10">
        <f>IFERROR(VLOOKUP(C1126,Parâmetros!$A$5:$D$7,IF(D1126="Mensal",2,IF(D1126="Trimestral",3,4)),0),0)</f>
        <v>99</v>
      </c>
      <c r="M1126" s="10">
        <f>IF(G1126="Sim",VLOOKUP("EA Play",Parâmetros!$A$11:$B$13,2,0),0)*K1126</f>
        <v>119.76</v>
      </c>
      <c r="N1126" s="10">
        <f>IF(H1126="Sim",VLOOKUP("Minecraft Pass",Parâmetros!$A$11:$B$13,2,0),0)*K1126</f>
        <v>95.76</v>
      </c>
      <c r="O1126" s="10">
        <f>IF(I1126="Sim",VLOOKUP("Call of Duty Pass",Parâmetros!$A$11:$B$13,2,0),0)*K1126</f>
        <v>0</v>
      </c>
      <c r="P1126" s="10">
        <f>(L1126*K1126+M1126+N1126+O1126)*IF(F1126="Promoção",1-Parâmetros!$B$22,1)</f>
        <v>2591.5200000000004</v>
      </c>
      <c r="Q1126" s="10">
        <f>Parâmetros!$B$20*K1126</f>
        <v>288</v>
      </c>
      <c r="R1126" s="10">
        <f>P1126-Q1126</f>
        <v>2303.5200000000004</v>
      </c>
    </row>
    <row r="1127" spans="1:18">
      <c r="A1127">
        <v>1126</v>
      </c>
      <c r="B1127" s="8">
        <v>45551</v>
      </c>
      <c r="C1127" t="s">
        <v>7</v>
      </c>
      <c r="D1127" t="s">
        <v>46</v>
      </c>
      <c r="E1127" t="s">
        <v>41</v>
      </c>
      <c r="F1127" t="s">
        <v>52</v>
      </c>
      <c r="G1127" t="s">
        <v>44</v>
      </c>
      <c r="H1127" t="s">
        <v>43</v>
      </c>
      <c r="I1127" t="s">
        <v>44</v>
      </c>
      <c r="J1127" t="s">
        <v>45</v>
      </c>
      <c r="K1127" s="9">
        <v>18</v>
      </c>
      <c r="L1127" s="10">
        <f>IFERROR(VLOOKUP(C1127,Parâmetros!$A$5:$D$7,IF(D1127="Mensal",2,IF(D1127="Trimestral",3,4)),0),0)</f>
        <v>14.99</v>
      </c>
      <c r="M1127" s="10">
        <f>IF(G1127="Sim",VLOOKUP("EA Play",Parâmetros!$A$11:$B$13,2,0),0)*K1127</f>
        <v>0</v>
      </c>
      <c r="N1127" s="10">
        <f>IF(H1127="Sim",VLOOKUP("Minecraft Pass",Parâmetros!$A$11:$B$13,2,0),0)*K1127</f>
        <v>71.820000000000007</v>
      </c>
      <c r="O1127" s="10">
        <f>IF(I1127="Sim",VLOOKUP("Call of Duty Pass",Parâmetros!$A$11:$B$13,2,0),0)*K1127</f>
        <v>0</v>
      </c>
      <c r="P1127" s="10">
        <f>(L1127*K1127+M1127+N1127+O1127)*IF(F1127="Promoção",1-Parâmetros!$B$22,1)</f>
        <v>341.64</v>
      </c>
      <c r="Q1127" s="10">
        <f>Parâmetros!$B$20*K1127</f>
        <v>216</v>
      </c>
      <c r="R1127" s="10">
        <f>P1127-Q1127</f>
        <v>125.63999999999999</v>
      </c>
    </row>
    <row r="1128" spans="1:18">
      <c r="A1128">
        <v>1127</v>
      </c>
      <c r="B1128" s="8">
        <v>45932</v>
      </c>
      <c r="C1128" t="s">
        <v>6</v>
      </c>
      <c r="D1128" t="s">
        <v>40</v>
      </c>
      <c r="E1128" t="s">
        <v>41</v>
      </c>
      <c r="F1128" t="s">
        <v>52</v>
      </c>
      <c r="G1128" t="s">
        <v>44</v>
      </c>
      <c r="H1128" t="s">
        <v>44</v>
      </c>
      <c r="I1128" t="s">
        <v>44</v>
      </c>
      <c r="J1128" t="s">
        <v>49</v>
      </c>
      <c r="K1128" s="9">
        <v>35</v>
      </c>
      <c r="L1128" s="10">
        <f>IFERROR(VLOOKUP(C1128,Parâmetros!$A$5:$D$7,IF(D1128="Mensal",2,IF(D1128="Trimestral",3,4)),0),0)</f>
        <v>27</v>
      </c>
      <c r="M1128" s="10">
        <f>IF(G1128="Sim",VLOOKUP("EA Play",Parâmetros!$A$11:$B$13,2,0),0)*K1128</f>
        <v>0</v>
      </c>
      <c r="N1128" s="10">
        <f>IF(H1128="Sim",VLOOKUP("Minecraft Pass",Parâmetros!$A$11:$B$13,2,0),0)*K1128</f>
        <v>0</v>
      </c>
      <c r="O1128" s="10">
        <f>IF(I1128="Sim",VLOOKUP("Call of Duty Pass",Parâmetros!$A$11:$B$13,2,0),0)*K1128</f>
        <v>0</v>
      </c>
      <c r="P1128" s="10">
        <f>(L1128*K1128+M1128+N1128+O1128)*IF(F1128="Promoção",1-Parâmetros!$B$22,1)</f>
        <v>945</v>
      </c>
      <c r="Q1128" s="10">
        <f>Parâmetros!$B$20*K1128</f>
        <v>420</v>
      </c>
      <c r="R1128" s="10">
        <f>P1128-Q1128</f>
        <v>525</v>
      </c>
    </row>
    <row r="1129" spans="1:18">
      <c r="A1129">
        <v>1128</v>
      </c>
      <c r="B1129" s="8">
        <v>45398</v>
      </c>
      <c r="C1129" t="s">
        <v>6</v>
      </c>
      <c r="D1129" t="s">
        <v>46</v>
      </c>
      <c r="E1129" t="s">
        <v>55</v>
      </c>
      <c r="F1129" t="s">
        <v>42</v>
      </c>
      <c r="G1129" t="s">
        <v>44</v>
      </c>
      <c r="H1129" t="s">
        <v>44</v>
      </c>
      <c r="I1129" t="s">
        <v>43</v>
      </c>
      <c r="J1129" t="s">
        <v>49</v>
      </c>
      <c r="K1129" s="9">
        <v>8</v>
      </c>
      <c r="L1129" s="10">
        <f>IFERROR(VLOOKUP(C1129,Parâmetros!$A$5:$D$7,IF(D1129="Mensal",2,IF(D1129="Trimestral",3,4)),0),0)</f>
        <v>9.99</v>
      </c>
      <c r="M1129" s="10">
        <f>IF(G1129="Sim",VLOOKUP("EA Play",Parâmetros!$A$11:$B$13,2,0),0)*K1129</f>
        <v>0</v>
      </c>
      <c r="N1129" s="10">
        <f>IF(H1129="Sim",VLOOKUP("Minecraft Pass",Parâmetros!$A$11:$B$13,2,0),0)*K1129</f>
        <v>0</v>
      </c>
      <c r="O1129" s="10">
        <f>IF(I1129="Sim",VLOOKUP("Call of Duty Pass",Parâmetros!$A$11:$B$13,2,0),0)*K1129</f>
        <v>55.92</v>
      </c>
      <c r="P1129" s="10">
        <f>(L1129*K1129+M1129+N1129+O1129)*IF(F1129="Promoção",1-Parâmetros!$B$22,1)</f>
        <v>135.84</v>
      </c>
      <c r="Q1129" s="10">
        <f>Parâmetros!$B$20*K1129</f>
        <v>96</v>
      </c>
      <c r="R1129" s="10">
        <f>P1129-Q1129</f>
        <v>39.840000000000003</v>
      </c>
    </row>
    <row r="1130" spans="1:18">
      <c r="A1130">
        <v>1129</v>
      </c>
      <c r="B1130" s="8">
        <v>45349</v>
      </c>
      <c r="C1130" t="s">
        <v>7</v>
      </c>
      <c r="D1130" t="s">
        <v>40</v>
      </c>
      <c r="E1130" t="s">
        <v>41</v>
      </c>
      <c r="F1130" t="s">
        <v>54</v>
      </c>
      <c r="G1130" t="s">
        <v>43</v>
      </c>
      <c r="H1130" t="s">
        <v>44</v>
      </c>
      <c r="I1130" t="s">
        <v>44</v>
      </c>
      <c r="J1130" t="s">
        <v>45</v>
      </c>
      <c r="K1130" s="9">
        <v>22</v>
      </c>
      <c r="L1130" s="10">
        <f>IFERROR(VLOOKUP(C1130,Parâmetros!$A$5:$D$7,IF(D1130="Mensal",2,IF(D1130="Trimestral",3,4)),0),0)</f>
        <v>40</v>
      </c>
      <c r="M1130" s="10">
        <f>IF(G1130="Sim",VLOOKUP("EA Play",Parâmetros!$A$11:$B$13,2,0),0)*K1130</f>
        <v>109.78</v>
      </c>
      <c r="N1130" s="10">
        <f>IF(H1130="Sim",VLOOKUP("Minecraft Pass",Parâmetros!$A$11:$B$13,2,0),0)*K1130</f>
        <v>0</v>
      </c>
      <c r="O1130" s="10">
        <f>IF(I1130="Sim",VLOOKUP("Call of Duty Pass",Parâmetros!$A$11:$B$13,2,0),0)*K1130</f>
        <v>0</v>
      </c>
      <c r="P1130" s="10">
        <f>(L1130*K1130+M1130+N1130+O1130)*IF(F1130="Promoção",1-Parâmetros!$B$22,1)</f>
        <v>890.80200000000002</v>
      </c>
      <c r="Q1130" s="10">
        <f>Parâmetros!$B$20*K1130</f>
        <v>264</v>
      </c>
      <c r="R1130" s="10">
        <f>P1130-Q1130</f>
        <v>626.80200000000002</v>
      </c>
    </row>
    <row r="1131" spans="1:18">
      <c r="A1131">
        <v>1130</v>
      </c>
      <c r="B1131" s="8">
        <v>45980</v>
      </c>
      <c r="C1131" t="s">
        <v>8</v>
      </c>
      <c r="D1131" t="s">
        <v>46</v>
      </c>
      <c r="E1131" t="s">
        <v>51</v>
      </c>
      <c r="F1131" t="s">
        <v>54</v>
      </c>
      <c r="G1131" t="s">
        <v>44</v>
      </c>
      <c r="H1131" t="s">
        <v>44</v>
      </c>
      <c r="I1131" t="s">
        <v>44</v>
      </c>
      <c r="J1131" t="s">
        <v>45</v>
      </c>
      <c r="K1131" s="9">
        <v>26</v>
      </c>
      <c r="L1131" s="10">
        <f>IFERROR(VLOOKUP(C1131,Parâmetros!$A$5:$D$7,IF(D1131="Mensal",2,IF(D1131="Trimestral",3,4)),0),0)</f>
        <v>21.99</v>
      </c>
      <c r="M1131" s="10">
        <f>IF(G1131="Sim",VLOOKUP("EA Play",Parâmetros!$A$11:$B$13,2,0),0)*K1131</f>
        <v>0</v>
      </c>
      <c r="N1131" s="10">
        <f>IF(H1131="Sim",VLOOKUP("Minecraft Pass",Parâmetros!$A$11:$B$13,2,0),0)*K1131</f>
        <v>0</v>
      </c>
      <c r="O1131" s="10">
        <f>IF(I1131="Sim",VLOOKUP("Call of Duty Pass",Parâmetros!$A$11:$B$13,2,0),0)*K1131</f>
        <v>0</v>
      </c>
      <c r="P1131" s="10">
        <f>(L1131*K1131+M1131+N1131+O1131)*IF(F1131="Promoção",1-Parâmetros!$B$22,1)</f>
        <v>514.56600000000003</v>
      </c>
      <c r="Q1131" s="10">
        <f>Parâmetros!$B$20*K1131</f>
        <v>312</v>
      </c>
      <c r="R1131" s="10">
        <f>P1131-Q1131</f>
        <v>202.56600000000003</v>
      </c>
    </row>
    <row r="1132" spans="1:18">
      <c r="A1132">
        <v>1131</v>
      </c>
      <c r="B1132" s="8">
        <v>45718</v>
      </c>
      <c r="C1132" t="s">
        <v>8</v>
      </c>
      <c r="D1132" t="s">
        <v>40</v>
      </c>
      <c r="E1132" t="s">
        <v>41</v>
      </c>
      <c r="F1132" t="s">
        <v>54</v>
      </c>
      <c r="G1132" t="s">
        <v>44</v>
      </c>
      <c r="H1132" t="s">
        <v>44</v>
      </c>
      <c r="I1132" t="s">
        <v>43</v>
      </c>
      <c r="J1132" t="s">
        <v>49</v>
      </c>
      <c r="K1132" s="9">
        <v>18</v>
      </c>
      <c r="L1132" s="10">
        <f>IFERROR(VLOOKUP(C1132,Parâmetros!$A$5:$D$7,IF(D1132="Mensal",2,IF(D1132="Trimestral",3,4)),0),0)</f>
        <v>59</v>
      </c>
      <c r="M1132" s="10">
        <f>IF(G1132="Sim",VLOOKUP("EA Play",Parâmetros!$A$11:$B$13,2,0),0)*K1132</f>
        <v>0</v>
      </c>
      <c r="N1132" s="10">
        <f>IF(H1132="Sim",VLOOKUP("Minecraft Pass",Parâmetros!$A$11:$B$13,2,0),0)*K1132</f>
        <v>0</v>
      </c>
      <c r="O1132" s="10">
        <f>IF(I1132="Sim",VLOOKUP("Call of Duty Pass",Parâmetros!$A$11:$B$13,2,0),0)*K1132</f>
        <v>125.82000000000001</v>
      </c>
      <c r="P1132" s="10">
        <f>(L1132*K1132+M1132+N1132+O1132)*IF(F1132="Promoção",1-Parâmetros!$B$22,1)</f>
        <v>1069.038</v>
      </c>
      <c r="Q1132" s="10">
        <f>Parâmetros!$B$20*K1132</f>
        <v>216</v>
      </c>
      <c r="R1132" s="10">
        <f>P1132-Q1132</f>
        <v>853.03800000000001</v>
      </c>
    </row>
    <row r="1133" spans="1:18">
      <c r="A1133">
        <v>1132</v>
      </c>
      <c r="B1133" s="8">
        <v>45915</v>
      </c>
      <c r="C1133" t="s">
        <v>6</v>
      </c>
      <c r="D1133" t="s">
        <v>40</v>
      </c>
      <c r="E1133" t="s">
        <v>41</v>
      </c>
      <c r="F1133" t="s">
        <v>52</v>
      </c>
      <c r="G1133" t="s">
        <v>44</v>
      </c>
      <c r="H1133" t="s">
        <v>43</v>
      </c>
      <c r="I1133" t="s">
        <v>43</v>
      </c>
      <c r="J1133" t="s">
        <v>49</v>
      </c>
      <c r="K1133" s="9">
        <v>22</v>
      </c>
      <c r="L1133" s="10">
        <f>IFERROR(VLOOKUP(C1133,Parâmetros!$A$5:$D$7,IF(D1133="Mensal",2,IF(D1133="Trimestral",3,4)),0),0)</f>
        <v>27</v>
      </c>
      <c r="M1133" s="10">
        <f>IF(G1133="Sim",VLOOKUP("EA Play",Parâmetros!$A$11:$B$13,2,0),0)*K1133</f>
        <v>0</v>
      </c>
      <c r="N1133" s="10">
        <f>IF(H1133="Sim",VLOOKUP("Minecraft Pass",Parâmetros!$A$11:$B$13,2,0),0)*K1133</f>
        <v>87.78</v>
      </c>
      <c r="O1133" s="10">
        <f>IF(I1133="Sim",VLOOKUP("Call of Duty Pass",Parâmetros!$A$11:$B$13,2,0),0)*K1133</f>
        <v>153.78</v>
      </c>
      <c r="P1133" s="10">
        <f>(L1133*K1133+M1133+N1133+O1133)*IF(F1133="Promoção",1-Parâmetros!$B$22,1)</f>
        <v>835.56</v>
      </c>
      <c r="Q1133" s="10">
        <f>Parâmetros!$B$20*K1133</f>
        <v>264</v>
      </c>
      <c r="R1133" s="10">
        <f>P1133-Q1133</f>
        <v>571.55999999999995</v>
      </c>
    </row>
    <row r="1134" spans="1:18">
      <c r="A1134">
        <v>1133</v>
      </c>
      <c r="B1134" s="8">
        <v>45769</v>
      </c>
      <c r="C1134" t="s">
        <v>7</v>
      </c>
      <c r="D1134" t="s">
        <v>40</v>
      </c>
      <c r="E1134" t="s">
        <v>47</v>
      </c>
      <c r="F1134" t="s">
        <v>48</v>
      </c>
      <c r="G1134" t="s">
        <v>43</v>
      </c>
      <c r="H1134" t="s">
        <v>43</v>
      </c>
      <c r="I1134" t="s">
        <v>44</v>
      </c>
      <c r="J1134" t="s">
        <v>49</v>
      </c>
      <c r="K1134" s="9">
        <v>2</v>
      </c>
      <c r="L1134" s="10">
        <f>IFERROR(VLOOKUP(C1134,Parâmetros!$A$5:$D$7,IF(D1134="Mensal",2,IF(D1134="Trimestral",3,4)),0),0)</f>
        <v>40</v>
      </c>
      <c r="M1134" s="10">
        <f>IF(G1134="Sim",VLOOKUP("EA Play",Parâmetros!$A$11:$B$13,2,0),0)*K1134</f>
        <v>9.98</v>
      </c>
      <c r="N1134" s="10">
        <f>IF(H1134="Sim",VLOOKUP("Minecraft Pass",Parâmetros!$A$11:$B$13,2,0),0)*K1134</f>
        <v>7.98</v>
      </c>
      <c r="O1134" s="10">
        <f>IF(I1134="Sim",VLOOKUP("Call of Duty Pass",Parâmetros!$A$11:$B$13,2,0),0)*K1134</f>
        <v>0</v>
      </c>
      <c r="P1134" s="10">
        <f>(L1134*K1134+M1134+N1134+O1134)*IF(F1134="Promoção",1-Parâmetros!$B$22,1)</f>
        <v>97.960000000000008</v>
      </c>
      <c r="Q1134" s="10">
        <f>Parâmetros!$B$20*K1134</f>
        <v>24</v>
      </c>
      <c r="R1134" s="10">
        <f>P1134-Q1134</f>
        <v>73.960000000000008</v>
      </c>
    </row>
    <row r="1135" spans="1:18">
      <c r="A1135">
        <v>1134</v>
      </c>
      <c r="B1135" s="8">
        <v>45465</v>
      </c>
      <c r="C1135" t="s">
        <v>8</v>
      </c>
      <c r="D1135" t="s">
        <v>46</v>
      </c>
      <c r="E1135" t="s">
        <v>41</v>
      </c>
      <c r="F1135" t="s">
        <v>42</v>
      </c>
      <c r="G1135" t="s">
        <v>44</v>
      </c>
      <c r="H1135" t="s">
        <v>43</v>
      </c>
      <c r="I1135" t="s">
        <v>44</v>
      </c>
      <c r="J1135" t="s">
        <v>45</v>
      </c>
      <c r="K1135" s="9">
        <v>13</v>
      </c>
      <c r="L1135" s="10">
        <f>IFERROR(VLOOKUP(C1135,Parâmetros!$A$5:$D$7,IF(D1135="Mensal",2,IF(D1135="Trimestral",3,4)),0),0)</f>
        <v>21.99</v>
      </c>
      <c r="M1135" s="10">
        <f>IF(G1135="Sim",VLOOKUP("EA Play",Parâmetros!$A$11:$B$13,2,0),0)*K1135</f>
        <v>0</v>
      </c>
      <c r="N1135" s="10">
        <f>IF(H1135="Sim",VLOOKUP("Minecraft Pass",Parâmetros!$A$11:$B$13,2,0),0)*K1135</f>
        <v>51.870000000000005</v>
      </c>
      <c r="O1135" s="10">
        <f>IF(I1135="Sim",VLOOKUP("Call of Duty Pass",Parâmetros!$A$11:$B$13,2,0),0)*K1135</f>
        <v>0</v>
      </c>
      <c r="P1135" s="10">
        <f>(L1135*K1135+M1135+N1135+O1135)*IF(F1135="Promoção",1-Parâmetros!$B$22,1)</f>
        <v>337.74</v>
      </c>
      <c r="Q1135" s="10">
        <f>Parâmetros!$B$20*K1135</f>
        <v>156</v>
      </c>
      <c r="R1135" s="10">
        <f>P1135-Q1135</f>
        <v>181.74</v>
      </c>
    </row>
    <row r="1136" spans="1:18">
      <c r="A1136">
        <v>1135</v>
      </c>
      <c r="B1136" s="8">
        <v>45427</v>
      </c>
      <c r="C1136" t="s">
        <v>6</v>
      </c>
      <c r="D1136" t="s">
        <v>46</v>
      </c>
      <c r="E1136" t="s">
        <v>41</v>
      </c>
      <c r="F1136" t="s">
        <v>42</v>
      </c>
      <c r="G1136" t="s">
        <v>44</v>
      </c>
      <c r="H1136" t="s">
        <v>44</v>
      </c>
      <c r="I1136" t="s">
        <v>44</v>
      </c>
      <c r="J1136" t="s">
        <v>49</v>
      </c>
      <c r="K1136" s="9">
        <v>13</v>
      </c>
      <c r="L1136" s="10">
        <f>IFERROR(VLOOKUP(C1136,Parâmetros!$A$5:$D$7,IF(D1136="Mensal",2,IF(D1136="Trimestral",3,4)),0),0)</f>
        <v>9.99</v>
      </c>
      <c r="M1136" s="10">
        <f>IF(G1136="Sim",VLOOKUP("EA Play",Parâmetros!$A$11:$B$13,2,0),0)*K1136</f>
        <v>0</v>
      </c>
      <c r="N1136" s="10">
        <f>IF(H1136="Sim",VLOOKUP("Minecraft Pass",Parâmetros!$A$11:$B$13,2,0),0)*K1136</f>
        <v>0</v>
      </c>
      <c r="O1136" s="10">
        <f>IF(I1136="Sim",VLOOKUP("Call of Duty Pass",Parâmetros!$A$11:$B$13,2,0),0)*K1136</f>
        <v>0</v>
      </c>
      <c r="P1136" s="10">
        <f>(L1136*K1136+M1136+N1136+O1136)*IF(F1136="Promoção",1-Parâmetros!$B$22,1)</f>
        <v>129.87</v>
      </c>
      <c r="Q1136" s="10">
        <f>Parâmetros!$B$20*K1136</f>
        <v>156</v>
      </c>
      <c r="R1136" s="10">
        <f>P1136-Q1136</f>
        <v>-26.129999999999995</v>
      </c>
    </row>
    <row r="1137" spans="1:18">
      <c r="A1137">
        <v>1136</v>
      </c>
      <c r="B1137" s="8">
        <v>45473</v>
      </c>
      <c r="C1137" t="s">
        <v>8</v>
      </c>
      <c r="D1137" t="s">
        <v>46</v>
      </c>
      <c r="E1137" t="s">
        <v>47</v>
      </c>
      <c r="F1137" t="s">
        <v>42</v>
      </c>
      <c r="G1137" t="s">
        <v>43</v>
      </c>
      <c r="H1137" t="s">
        <v>43</v>
      </c>
      <c r="I1137" t="s">
        <v>44</v>
      </c>
      <c r="J1137" t="s">
        <v>49</v>
      </c>
      <c r="K1137" s="9">
        <v>11</v>
      </c>
      <c r="L1137" s="10">
        <f>IFERROR(VLOOKUP(C1137,Parâmetros!$A$5:$D$7,IF(D1137="Mensal",2,IF(D1137="Trimestral",3,4)),0),0)</f>
        <v>21.99</v>
      </c>
      <c r="M1137" s="10">
        <f>IF(G1137="Sim",VLOOKUP("EA Play",Parâmetros!$A$11:$B$13,2,0),0)*K1137</f>
        <v>54.89</v>
      </c>
      <c r="N1137" s="10">
        <f>IF(H1137="Sim",VLOOKUP("Minecraft Pass",Parâmetros!$A$11:$B$13,2,0),0)*K1137</f>
        <v>43.89</v>
      </c>
      <c r="O1137" s="10">
        <f>IF(I1137="Sim",VLOOKUP("Call of Duty Pass",Parâmetros!$A$11:$B$13,2,0),0)*K1137</f>
        <v>0</v>
      </c>
      <c r="P1137" s="10">
        <f>(L1137*K1137+M1137+N1137+O1137)*IF(F1137="Promoção",1-Parâmetros!$B$22,1)</f>
        <v>340.66999999999996</v>
      </c>
      <c r="Q1137" s="10">
        <f>Parâmetros!$B$20*K1137</f>
        <v>132</v>
      </c>
      <c r="R1137" s="10">
        <f>P1137-Q1137</f>
        <v>208.66999999999996</v>
      </c>
    </row>
    <row r="1138" spans="1:18">
      <c r="A1138">
        <v>1137</v>
      </c>
      <c r="B1138" s="8">
        <v>45329</v>
      </c>
      <c r="C1138" t="s">
        <v>8</v>
      </c>
      <c r="D1138" t="s">
        <v>40</v>
      </c>
      <c r="E1138" t="s">
        <v>41</v>
      </c>
      <c r="F1138" t="s">
        <v>48</v>
      </c>
      <c r="G1138" t="s">
        <v>44</v>
      </c>
      <c r="H1138" t="s">
        <v>44</v>
      </c>
      <c r="I1138" t="s">
        <v>44</v>
      </c>
      <c r="J1138" t="s">
        <v>45</v>
      </c>
      <c r="K1138" s="9">
        <v>19</v>
      </c>
      <c r="L1138" s="10">
        <f>IFERROR(VLOOKUP(C1138,Parâmetros!$A$5:$D$7,IF(D1138="Mensal",2,IF(D1138="Trimestral",3,4)),0),0)</f>
        <v>59</v>
      </c>
      <c r="M1138" s="10">
        <f>IF(G1138="Sim",VLOOKUP("EA Play",Parâmetros!$A$11:$B$13,2,0),0)*K1138</f>
        <v>0</v>
      </c>
      <c r="N1138" s="10">
        <f>IF(H1138="Sim",VLOOKUP("Minecraft Pass",Parâmetros!$A$11:$B$13,2,0),0)*K1138</f>
        <v>0</v>
      </c>
      <c r="O1138" s="10">
        <f>IF(I1138="Sim",VLOOKUP("Call of Duty Pass",Parâmetros!$A$11:$B$13,2,0),0)*K1138</f>
        <v>0</v>
      </c>
      <c r="P1138" s="10">
        <f>(L1138*K1138+M1138+N1138+O1138)*IF(F1138="Promoção",1-Parâmetros!$B$22,1)</f>
        <v>1121</v>
      </c>
      <c r="Q1138" s="10">
        <f>Parâmetros!$B$20*K1138</f>
        <v>228</v>
      </c>
      <c r="R1138" s="10">
        <f>P1138-Q1138</f>
        <v>893</v>
      </c>
    </row>
    <row r="1139" spans="1:18">
      <c r="A1139">
        <v>1138</v>
      </c>
      <c r="B1139" s="8">
        <v>45504</v>
      </c>
      <c r="C1139" t="s">
        <v>6</v>
      </c>
      <c r="D1139" t="s">
        <v>50</v>
      </c>
      <c r="E1139" t="s">
        <v>47</v>
      </c>
      <c r="F1139" t="s">
        <v>52</v>
      </c>
      <c r="G1139" t="s">
        <v>43</v>
      </c>
      <c r="H1139" t="s">
        <v>44</v>
      </c>
      <c r="I1139" t="s">
        <v>43</v>
      </c>
      <c r="J1139" t="s">
        <v>49</v>
      </c>
      <c r="K1139" s="9">
        <v>17</v>
      </c>
      <c r="L1139" s="10">
        <f>IFERROR(VLOOKUP(C1139,Parâmetros!$A$5:$D$7,IF(D1139="Mensal",2,IF(D1139="Trimestral",3,4)),0),0)</f>
        <v>99</v>
      </c>
      <c r="M1139" s="10">
        <f>IF(G1139="Sim",VLOOKUP("EA Play",Parâmetros!$A$11:$B$13,2,0),0)*K1139</f>
        <v>84.83</v>
      </c>
      <c r="N1139" s="10">
        <f>IF(H1139="Sim",VLOOKUP("Minecraft Pass",Parâmetros!$A$11:$B$13,2,0),0)*K1139</f>
        <v>0</v>
      </c>
      <c r="O1139" s="10">
        <f>IF(I1139="Sim",VLOOKUP("Call of Duty Pass",Parâmetros!$A$11:$B$13,2,0),0)*K1139</f>
        <v>118.83</v>
      </c>
      <c r="P1139" s="10">
        <f>(L1139*K1139+M1139+N1139+O1139)*IF(F1139="Promoção",1-Parâmetros!$B$22,1)</f>
        <v>1886.6599999999999</v>
      </c>
      <c r="Q1139" s="10">
        <f>Parâmetros!$B$20*K1139</f>
        <v>204</v>
      </c>
      <c r="R1139" s="10">
        <f>P1139-Q1139</f>
        <v>1682.6599999999999</v>
      </c>
    </row>
    <row r="1140" spans="1:18">
      <c r="A1140">
        <v>1139</v>
      </c>
      <c r="B1140" s="8">
        <v>45324</v>
      </c>
      <c r="C1140" t="s">
        <v>8</v>
      </c>
      <c r="D1140" t="s">
        <v>40</v>
      </c>
      <c r="E1140" t="s">
        <v>47</v>
      </c>
      <c r="F1140" t="s">
        <v>48</v>
      </c>
      <c r="G1140" t="s">
        <v>44</v>
      </c>
      <c r="H1140" t="s">
        <v>43</v>
      </c>
      <c r="I1140" t="s">
        <v>44</v>
      </c>
      <c r="J1140" t="s">
        <v>45</v>
      </c>
      <c r="K1140" s="9">
        <v>3</v>
      </c>
      <c r="L1140" s="10">
        <f>IFERROR(VLOOKUP(C1140,Parâmetros!$A$5:$D$7,IF(D1140="Mensal",2,IF(D1140="Trimestral",3,4)),0),0)</f>
        <v>59</v>
      </c>
      <c r="M1140" s="10">
        <f>IF(G1140="Sim",VLOOKUP("EA Play",Parâmetros!$A$11:$B$13,2,0),0)*K1140</f>
        <v>0</v>
      </c>
      <c r="N1140" s="10">
        <f>IF(H1140="Sim",VLOOKUP("Minecraft Pass",Parâmetros!$A$11:$B$13,2,0),0)*K1140</f>
        <v>11.97</v>
      </c>
      <c r="O1140" s="10">
        <f>IF(I1140="Sim",VLOOKUP("Call of Duty Pass",Parâmetros!$A$11:$B$13,2,0),0)*K1140</f>
        <v>0</v>
      </c>
      <c r="P1140" s="10">
        <f>(L1140*K1140+M1140+N1140+O1140)*IF(F1140="Promoção",1-Parâmetros!$B$22,1)</f>
        <v>188.97</v>
      </c>
      <c r="Q1140" s="10">
        <f>Parâmetros!$B$20*K1140</f>
        <v>36</v>
      </c>
      <c r="R1140" s="10">
        <f>P1140-Q1140</f>
        <v>152.97</v>
      </c>
    </row>
    <row r="1141" spans="1:18">
      <c r="A1141">
        <v>1140</v>
      </c>
      <c r="B1141" s="8">
        <v>45622</v>
      </c>
      <c r="C1141" t="s">
        <v>7</v>
      </c>
      <c r="D1141" t="s">
        <v>40</v>
      </c>
      <c r="E1141" t="s">
        <v>55</v>
      </c>
      <c r="F1141" t="s">
        <v>42</v>
      </c>
      <c r="G1141" t="s">
        <v>43</v>
      </c>
      <c r="H1141" t="s">
        <v>43</v>
      </c>
      <c r="I1141" t="s">
        <v>44</v>
      </c>
      <c r="J1141" t="s">
        <v>49</v>
      </c>
      <c r="K1141" s="9">
        <v>23</v>
      </c>
      <c r="L1141" s="10">
        <f>IFERROR(VLOOKUP(C1141,Parâmetros!$A$5:$D$7,IF(D1141="Mensal",2,IF(D1141="Trimestral",3,4)),0),0)</f>
        <v>40</v>
      </c>
      <c r="M1141" s="10">
        <f>IF(G1141="Sim",VLOOKUP("EA Play",Parâmetros!$A$11:$B$13,2,0),0)*K1141</f>
        <v>114.77000000000001</v>
      </c>
      <c r="N1141" s="10">
        <f>IF(H1141="Sim",VLOOKUP("Minecraft Pass",Parâmetros!$A$11:$B$13,2,0),0)*K1141</f>
        <v>91.77000000000001</v>
      </c>
      <c r="O1141" s="10">
        <f>IF(I1141="Sim",VLOOKUP("Call of Duty Pass",Parâmetros!$A$11:$B$13,2,0),0)*K1141</f>
        <v>0</v>
      </c>
      <c r="P1141" s="10">
        <f>(L1141*K1141+M1141+N1141+O1141)*IF(F1141="Promoção",1-Parâmetros!$B$22,1)</f>
        <v>1126.54</v>
      </c>
      <c r="Q1141" s="10">
        <f>Parâmetros!$B$20*K1141</f>
        <v>276</v>
      </c>
      <c r="R1141" s="10">
        <f>P1141-Q1141</f>
        <v>850.54</v>
      </c>
    </row>
    <row r="1142" spans="1:18">
      <c r="A1142">
        <v>1141</v>
      </c>
      <c r="B1142" s="8">
        <v>45605</v>
      </c>
      <c r="C1142" t="s">
        <v>6</v>
      </c>
      <c r="D1142" t="s">
        <v>40</v>
      </c>
      <c r="E1142" t="s">
        <v>51</v>
      </c>
      <c r="F1142" t="s">
        <v>48</v>
      </c>
      <c r="G1142" t="s">
        <v>44</v>
      </c>
      <c r="H1142" t="s">
        <v>44</v>
      </c>
      <c r="I1142" t="s">
        <v>44</v>
      </c>
      <c r="J1142" t="s">
        <v>45</v>
      </c>
      <c r="K1142" s="9">
        <v>31</v>
      </c>
      <c r="L1142" s="10">
        <f>IFERROR(VLOOKUP(C1142,Parâmetros!$A$5:$D$7,IF(D1142="Mensal",2,IF(D1142="Trimestral",3,4)),0),0)</f>
        <v>27</v>
      </c>
      <c r="M1142" s="10">
        <f>IF(G1142="Sim",VLOOKUP("EA Play",Parâmetros!$A$11:$B$13,2,0),0)*K1142</f>
        <v>0</v>
      </c>
      <c r="N1142" s="10">
        <f>IF(H1142="Sim",VLOOKUP("Minecraft Pass",Parâmetros!$A$11:$B$13,2,0),0)*K1142</f>
        <v>0</v>
      </c>
      <c r="O1142" s="10">
        <f>IF(I1142="Sim",VLOOKUP("Call of Duty Pass",Parâmetros!$A$11:$B$13,2,0),0)*K1142</f>
        <v>0</v>
      </c>
      <c r="P1142" s="10">
        <f>(L1142*K1142+M1142+N1142+O1142)*IF(F1142="Promoção",1-Parâmetros!$B$22,1)</f>
        <v>837</v>
      </c>
      <c r="Q1142" s="10">
        <f>Parâmetros!$B$20*K1142</f>
        <v>372</v>
      </c>
      <c r="R1142" s="10">
        <f>P1142-Q1142</f>
        <v>465</v>
      </c>
    </row>
    <row r="1143" spans="1:18">
      <c r="A1143">
        <v>1142</v>
      </c>
      <c r="B1143" s="8">
        <v>45541</v>
      </c>
      <c r="C1143" t="s">
        <v>6</v>
      </c>
      <c r="D1143" t="s">
        <v>46</v>
      </c>
      <c r="E1143" t="s">
        <v>41</v>
      </c>
      <c r="F1143" t="s">
        <v>52</v>
      </c>
      <c r="G1143" t="s">
        <v>43</v>
      </c>
      <c r="H1143" t="s">
        <v>44</v>
      </c>
      <c r="I1143" t="s">
        <v>44</v>
      </c>
      <c r="J1143" t="s">
        <v>45</v>
      </c>
      <c r="K1143" s="9">
        <v>33</v>
      </c>
      <c r="L1143" s="10">
        <f>IFERROR(VLOOKUP(C1143,Parâmetros!$A$5:$D$7,IF(D1143="Mensal",2,IF(D1143="Trimestral",3,4)),0),0)</f>
        <v>9.99</v>
      </c>
      <c r="M1143" s="10">
        <f>IF(G1143="Sim",VLOOKUP("EA Play",Parâmetros!$A$11:$B$13,2,0),0)*K1143</f>
        <v>164.67000000000002</v>
      </c>
      <c r="N1143" s="10">
        <f>IF(H1143="Sim",VLOOKUP("Minecraft Pass",Parâmetros!$A$11:$B$13,2,0),0)*K1143</f>
        <v>0</v>
      </c>
      <c r="O1143" s="10">
        <f>IF(I1143="Sim",VLOOKUP("Call of Duty Pass",Parâmetros!$A$11:$B$13,2,0),0)*K1143</f>
        <v>0</v>
      </c>
      <c r="P1143" s="10">
        <f>(L1143*K1143+M1143+N1143+O1143)*IF(F1143="Promoção",1-Parâmetros!$B$22,1)</f>
        <v>494.34000000000003</v>
      </c>
      <c r="Q1143" s="10">
        <f>Parâmetros!$B$20*K1143</f>
        <v>396</v>
      </c>
      <c r="R1143" s="10">
        <f>P1143-Q1143</f>
        <v>98.340000000000032</v>
      </c>
    </row>
    <row r="1144" spans="1:18">
      <c r="A1144">
        <v>1143</v>
      </c>
      <c r="B1144" s="8">
        <v>45402</v>
      </c>
      <c r="C1144" t="s">
        <v>7</v>
      </c>
      <c r="D1144" t="s">
        <v>40</v>
      </c>
      <c r="E1144" t="s">
        <v>53</v>
      </c>
      <c r="F1144" t="s">
        <v>48</v>
      </c>
      <c r="G1144" t="s">
        <v>43</v>
      </c>
      <c r="H1144" t="s">
        <v>44</v>
      </c>
      <c r="I1144" t="s">
        <v>44</v>
      </c>
      <c r="J1144" t="s">
        <v>45</v>
      </c>
      <c r="K1144" s="9">
        <v>34</v>
      </c>
      <c r="L1144" s="10">
        <f>IFERROR(VLOOKUP(C1144,Parâmetros!$A$5:$D$7,IF(D1144="Mensal",2,IF(D1144="Trimestral",3,4)),0),0)</f>
        <v>40</v>
      </c>
      <c r="M1144" s="10">
        <f>IF(G1144="Sim",VLOOKUP("EA Play",Parâmetros!$A$11:$B$13,2,0),0)*K1144</f>
        <v>169.66</v>
      </c>
      <c r="N1144" s="10">
        <f>IF(H1144="Sim",VLOOKUP("Minecraft Pass",Parâmetros!$A$11:$B$13,2,0),0)*K1144</f>
        <v>0</v>
      </c>
      <c r="O1144" s="10">
        <f>IF(I1144="Sim",VLOOKUP("Call of Duty Pass",Parâmetros!$A$11:$B$13,2,0),0)*K1144</f>
        <v>0</v>
      </c>
      <c r="P1144" s="10">
        <f>(L1144*K1144+M1144+N1144+O1144)*IF(F1144="Promoção",1-Parâmetros!$B$22,1)</f>
        <v>1529.66</v>
      </c>
      <c r="Q1144" s="10">
        <f>Parâmetros!$B$20*K1144</f>
        <v>408</v>
      </c>
      <c r="R1144" s="10">
        <f>P1144-Q1144</f>
        <v>1121.6600000000001</v>
      </c>
    </row>
    <row r="1145" spans="1:18">
      <c r="A1145">
        <v>1144</v>
      </c>
      <c r="B1145" s="8">
        <v>45495</v>
      </c>
      <c r="C1145" t="s">
        <v>8</v>
      </c>
      <c r="D1145" t="s">
        <v>40</v>
      </c>
      <c r="E1145" t="s">
        <v>41</v>
      </c>
      <c r="F1145" t="s">
        <v>52</v>
      </c>
      <c r="G1145" t="s">
        <v>44</v>
      </c>
      <c r="H1145" t="s">
        <v>43</v>
      </c>
      <c r="I1145" t="s">
        <v>43</v>
      </c>
      <c r="J1145" t="s">
        <v>45</v>
      </c>
      <c r="K1145" s="9">
        <v>10</v>
      </c>
      <c r="L1145" s="10">
        <f>IFERROR(VLOOKUP(C1145,Parâmetros!$A$5:$D$7,IF(D1145="Mensal",2,IF(D1145="Trimestral",3,4)),0),0)</f>
        <v>59</v>
      </c>
      <c r="M1145" s="10">
        <f>IF(G1145="Sim",VLOOKUP("EA Play",Parâmetros!$A$11:$B$13,2,0),0)*K1145</f>
        <v>0</v>
      </c>
      <c r="N1145" s="10">
        <f>IF(H1145="Sim",VLOOKUP("Minecraft Pass",Parâmetros!$A$11:$B$13,2,0),0)*K1145</f>
        <v>39.900000000000006</v>
      </c>
      <c r="O1145" s="10">
        <f>IF(I1145="Sim",VLOOKUP("Call of Duty Pass",Parâmetros!$A$11:$B$13,2,0),0)*K1145</f>
        <v>69.900000000000006</v>
      </c>
      <c r="P1145" s="10">
        <f>(L1145*K1145+M1145+N1145+O1145)*IF(F1145="Promoção",1-Parâmetros!$B$22,1)</f>
        <v>699.8</v>
      </c>
      <c r="Q1145" s="10">
        <f>Parâmetros!$B$20*K1145</f>
        <v>120</v>
      </c>
      <c r="R1145" s="10">
        <f>P1145-Q1145</f>
        <v>579.79999999999995</v>
      </c>
    </row>
    <row r="1146" spans="1:18">
      <c r="A1146">
        <v>1145</v>
      </c>
      <c r="B1146" s="8">
        <v>45646</v>
      </c>
      <c r="C1146" t="s">
        <v>7</v>
      </c>
      <c r="D1146" t="s">
        <v>46</v>
      </c>
      <c r="E1146" t="s">
        <v>41</v>
      </c>
      <c r="F1146" t="s">
        <v>42</v>
      </c>
      <c r="G1146" t="s">
        <v>44</v>
      </c>
      <c r="H1146" t="s">
        <v>43</v>
      </c>
      <c r="I1146" t="s">
        <v>43</v>
      </c>
      <c r="J1146" t="s">
        <v>49</v>
      </c>
      <c r="K1146" s="9">
        <v>14</v>
      </c>
      <c r="L1146" s="10">
        <f>IFERROR(VLOOKUP(C1146,Parâmetros!$A$5:$D$7,IF(D1146="Mensal",2,IF(D1146="Trimestral",3,4)),0),0)</f>
        <v>14.99</v>
      </c>
      <c r="M1146" s="10">
        <f>IF(G1146="Sim",VLOOKUP("EA Play",Parâmetros!$A$11:$B$13,2,0),0)*K1146</f>
        <v>0</v>
      </c>
      <c r="N1146" s="10">
        <f>IF(H1146="Sim",VLOOKUP("Minecraft Pass",Parâmetros!$A$11:$B$13,2,0),0)*K1146</f>
        <v>55.86</v>
      </c>
      <c r="O1146" s="10">
        <f>IF(I1146="Sim",VLOOKUP("Call of Duty Pass",Parâmetros!$A$11:$B$13,2,0),0)*K1146</f>
        <v>97.86</v>
      </c>
      <c r="P1146" s="10">
        <f>(L1146*K1146+M1146+N1146+O1146)*IF(F1146="Promoção",1-Parâmetros!$B$22,1)</f>
        <v>363.58000000000004</v>
      </c>
      <c r="Q1146" s="10">
        <f>Parâmetros!$B$20*K1146</f>
        <v>168</v>
      </c>
      <c r="R1146" s="10">
        <f>P1146-Q1146</f>
        <v>195.58000000000004</v>
      </c>
    </row>
    <row r="1147" spans="1:18">
      <c r="A1147">
        <v>1146</v>
      </c>
      <c r="B1147" s="8">
        <v>45739</v>
      </c>
      <c r="C1147" t="s">
        <v>6</v>
      </c>
      <c r="D1147" t="s">
        <v>46</v>
      </c>
      <c r="E1147" t="s">
        <v>51</v>
      </c>
      <c r="F1147" t="s">
        <v>54</v>
      </c>
      <c r="G1147" t="s">
        <v>43</v>
      </c>
      <c r="H1147" t="s">
        <v>44</v>
      </c>
      <c r="I1147" t="s">
        <v>44</v>
      </c>
      <c r="J1147" t="s">
        <v>49</v>
      </c>
      <c r="K1147" s="9">
        <v>26</v>
      </c>
      <c r="L1147" s="10">
        <f>IFERROR(VLOOKUP(C1147,Parâmetros!$A$5:$D$7,IF(D1147="Mensal",2,IF(D1147="Trimestral",3,4)),0),0)</f>
        <v>9.99</v>
      </c>
      <c r="M1147" s="10">
        <f>IF(G1147="Sim",VLOOKUP("EA Play",Parâmetros!$A$11:$B$13,2,0),0)*K1147</f>
        <v>129.74</v>
      </c>
      <c r="N1147" s="10">
        <f>IF(H1147="Sim",VLOOKUP("Minecraft Pass",Parâmetros!$A$11:$B$13,2,0),0)*K1147</f>
        <v>0</v>
      </c>
      <c r="O1147" s="10">
        <f>IF(I1147="Sim",VLOOKUP("Call of Duty Pass",Parâmetros!$A$11:$B$13,2,0),0)*K1147</f>
        <v>0</v>
      </c>
      <c r="P1147" s="10">
        <f>(L1147*K1147+M1147+N1147+O1147)*IF(F1147="Promoção",1-Parâmetros!$B$22,1)</f>
        <v>350.53200000000004</v>
      </c>
      <c r="Q1147" s="10">
        <f>Parâmetros!$B$20*K1147</f>
        <v>312</v>
      </c>
      <c r="R1147" s="10">
        <f>P1147-Q1147</f>
        <v>38.532000000000039</v>
      </c>
    </row>
    <row r="1148" spans="1:18">
      <c r="A1148">
        <v>1147</v>
      </c>
      <c r="B1148" s="8">
        <v>46007</v>
      </c>
      <c r="C1148" t="s">
        <v>6</v>
      </c>
      <c r="D1148" t="s">
        <v>46</v>
      </c>
      <c r="E1148" t="s">
        <v>41</v>
      </c>
      <c r="F1148" t="s">
        <v>48</v>
      </c>
      <c r="G1148" t="s">
        <v>43</v>
      </c>
      <c r="H1148" t="s">
        <v>44</v>
      </c>
      <c r="I1148" t="s">
        <v>44</v>
      </c>
      <c r="J1148" t="s">
        <v>49</v>
      </c>
      <c r="K1148" s="9">
        <v>9</v>
      </c>
      <c r="L1148" s="10">
        <f>IFERROR(VLOOKUP(C1148,Parâmetros!$A$5:$D$7,IF(D1148="Mensal",2,IF(D1148="Trimestral",3,4)),0),0)</f>
        <v>9.99</v>
      </c>
      <c r="M1148" s="10">
        <f>IF(G1148="Sim",VLOOKUP("EA Play",Parâmetros!$A$11:$B$13,2,0),0)*K1148</f>
        <v>44.910000000000004</v>
      </c>
      <c r="N1148" s="10">
        <f>IF(H1148="Sim",VLOOKUP("Minecraft Pass",Parâmetros!$A$11:$B$13,2,0),0)*K1148</f>
        <v>0</v>
      </c>
      <c r="O1148" s="10">
        <f>IF(I1148="Sim",VLOOKUP("Call of Duty Pass",Parâmetros!$A$11:$B$13,2,0),0)*K1148</f>
        <v>0</v>
      </c>
      <c r="P1148" s="10">
        <f>(L1148*K1148+M1148+N1148+O1148)*IF(F1148="Promoção",1-Parâmetros!$B$22,1)</f>
        <v>134.82</v>
      </c>
      <c r="Q1148" s="10">
        <f>Parâmetros!$B$20*K1148</f>
        <v>108</v>
      </c>
      <c r="R1148" s="10">
        <f>P1148-Q1148</f>
        <v>26.819999999999993</v>
      </c>
    </row>
    <row r="1149" spans="1:18">
      <c r="A1149">
        <v>1148</v>
      </c>
      <c r="B1149" s="8">
        <v>45701</v>
      </c>
      <c r="C1149" t="s">
        <v>8</v>
      </c>
      <c r="D1149" t="s">
        <v>50</v>
      </c>
      <c r="E1149" t="s">
        <v>51</v>
      </c>
      <c r="F1149" t="s">
        <v>52</v>
      </c>
      <c r="G1149" t="s">
        <v>43</v>
      </c>
      <c r="H1149" t="s">
        <v>43</v>
      </c>
      <c r="I1149" t="s">
        <v>43</v>
      </c>
      <c r="J1149" t="s">
        <v>49</v>
      </c>
      <c r="K1149" s="9">
        <v>2</v>
      </c>
      <c r="L1149" s="10">
        <f>IFERROR(VLOOKUP(C1149,Parâmetros!$A$5:$D$7,IF(D1149="Mensal",2,IF(D1149="Trimestral",3,4)),0),0)</f>
        <v>219</v>
      </c>
      <c r="M1149" s="10">
        <f>IF(G1149="Sim",VLOOKUP("EA Play",Parâmetros!$A$11:$B$13,2,0),0)*K1149</f>
        <v>9.98</v>
      </c>
      <c r="N1149" s="10">
        <f>IF(H1149="Sim",VLOOKUP("Minecraft Pass",Parâmetros!$A$11:$B$13,2,0),0)*K1149</f>
        <v>7.98</v>
      </c>
      <c r="O1149" s="10">
        <f>IF(I1149="Sim",VLOOKUP("Call of Duty Pass",Parâmetros!$A$11:$B$13,2,0),0)*K1149</f>
        <v>13.98</v>
      </c>
      <c r="P1149" s="10">
        <f>(L1149*K1149+M1149+N1149+O1149)*IF(F1149="Promoção",1-Parâmetros!$B$22,1)</f>
        <v>469.94000000000005</v>
      </c>
      <c r="Q1149" s="10">
        <f>Parâmetros!$B$20*K1149</f>
        <v>24</v>
      </c>
      <c r="R1149" s="10">
        <f>P1149-Q1149</f>
        <v>445.94000000000005</v>
      </c>
    </row>
    <row r="1150" spans="1:18">
      <c r="A1150">
        <v>1149</v>
      </c>
      <c r="B1150" s="8">
        <v>45519</v>
      </c>
      <c r="C1150" t="s">
        <v>8</v>
      </c>
      <c r="D1150" t="s">
        <v>46</v>
      </c>
      <c r="E1150" t="s">
        <v>41</v>
      </c>
      <c r="F1150" t="s">
        <v>42</v>
      </c>
      <c r="G1150" t="s">
        <v>44</v>
      </c>
      <c r="H1150" t="s">
        <v>43</v>
      </c>
      <c r="I1150" t="s">
        <v>44</v>
      </c>
      <c r="J1150" t="s">
        <v>49</v>
      </c>
      <c r="K1150" s="9">
        <v>5</v>
      </c>
      <c r="L1150" s="10">
        <f>IFERROR(VLOOKUP(C1150,Parâmetros!$A$5:$D$7,IF(D1150="Mensal",2,IF(D1150="Trimestral",3,4)),0),0)</f>
        <v>21.99</v>
      </c>
      <c r="M1150" s="10">
        <f>IF(G1150="Sim",VLOOKUP("EA Play",Parâmetros!$A$11:$B$13,2,0),0)*K1150</f>
        <v>0</v>
      </c>
      <c r="N1150" s="10">
        <f>IF(H1150="Sim",VLOOKUP("Minecraft Pass",Parâmetros!$A$11:$B$13,2,0),0)*K1150</f>
        <v>19.950000000000003</v>
      </c>
      <c r="O1150" s="10">
        <f>IF(I1150="Sim",VLOOKUP("Call of Duty Pass",Parâmetros!$A$11:$B$13,2,0),0)*K1150</f>
        <v>0</v>
      </c>
      <c r="P1150" s="10">
        <f>(L1150*K1150+M1150+N1150+O1150)*IF(F1150="Promoção",1-Parâmetros!$B$22,1)</f>
        <v>129.89999999999998</v>
      </c>
      <c r="Q1150" s="10">
        <f>Parâmetros!$B$20*K1150</f>
        <v>60</v>
      </c>
      <c r="R1150" s="10">
        <f>P1150-Q1150</f>
        <v>69.899999999999977</v>
      </c>
    </row>
    <row r="1151" spans="1:18">
      <c r="A1151">
        <v>1150</v>
      </c>
      <c r="B1151" s="8">
        <v>45953</v>
      </c>
      <c r="C1151" t="s">
        <v>6</v>
      </c>
      <c r="D1151" t="s">
        <v>46</v>
      </c>
      <c r="E1151" t="s">
        <v>41</v>
      </c>
      <c r="F1151" t="s">
        <v>42</v>
      </c>
      <c r="G1151" t="s">
        <v>43</v>
      </c>
      <c r="H1151" t="s">
        <v>43</v>
      </c>
      <c r="I1151" t="s">
        <v>43</v>
      </c>
      <c r="J1151" t="s">
        <v>49</v>
      </c>
      <c r="K1151" s="9">
        <v>20</v>
      </c>
      <c r="L1151" s="10">
        <f>IFERROR(VLOOKUP(C1151,Parâmetros!$A$5:$D$7,IF(D1151="Mensal",2,IF(D1151="Trimestral",3,4)),0),0)</f>
        <v>9.99</v>
      </c>
      <c r="M1151" s="10">
        <f>IF(G1151="Sim",VLOOKUP("EA Play",Parâmetros!$A$11:$B$13,2,0),0)*K1151</f>
        <v>99.800000000000011</v>
      </c>
      <c r="N1151" s="10">
        <f>IF(H1151="Sim",VLOOKUP("Minecraft Pass",Parâmetros!$A$11:$B$13,2,0),0)*K1151</f>
        <v>79.800000000000011</v>
      </c>
      <c r="O1151" s="10">
        <f>IF(I1151="Sim",VLOOKUP("Call of Duty Pass",Parâmetros!$A$11:$B$13,2,0),0)*K1151</f>
        <v>139.80000000000001</v>
      </c>
      <c r="P1151" s="10">
        <f>(L1151*K1151+M1151+N1151+O1151)*IF(F1151="Promoção",1-Parâmetros!$B$22,1)</f>
        <v>519.20000000000005</v>
      </c>
      <c r="Q1151" s="10">
        <f>Parâmetros!$B$20*K1151</f>
        <v>240</v>
      </c>
      <c r="R1151" s="10">
        <f>P1151-Q1151</f>
        <v>279.20000000000005</v>
      </c>
    </row>
    <row r="1152" spans="1:18">
      <c r="A1152">
        <v>1151</v>
      </c>
      <c r="B1152" s="8">
        <v>45688</v>
      </c>
      <c r="C1152" t="s">
        <v>7</v>
      </c>
      <c r="D1152" t="s">
        <v>46</v>
      </c>
      <c r="E1152" t="s">
        <v>41</v>
      </c>
      <c r="F1152" t="s">
        <v>54</v>
      </c>
      <c r="G1152" t="s">
        <v>43</v>
      </c>
      <c r="H1152" t="s">
        <v>43</v>
      </c>
      <c r="I1152" t="s">
        <v>44</v>
      </c>
      <c r="J1152" t="s">
        <v>49</v>
      </c>
      <c r="K1152" s="9">
        <v>6</v>
      </c>
      <c r="L1152" s="10">
        <f>IFERROR(VLOOKUP(C1152,Parâmetros!$A$5:$D$7,IF(D1152="Mensal",2,IF(D1152="Trimestral",3,4)),0),0)</f>
        <v>14.99</v>
      </c>
      <c r="M1152" s="10">
        <f>IF(G1152="Sim",VLOOKUP("EA Play",Parâmetros!$A$11:$B$13,2,0),0)*K1152</f>
        <v>29.94</v>
      </c>
      <c r="N1152" s="10">
        <f>IF(H1152="Sim",VLOOKUP("Minecraft Pass",Parâmetros!$A$11:$B$13,2,0),0)*K1152</f>
        <v>23.94</v>
      </c>
      <c r="O1152" s="10">
        <f>IF(I1152="Sim",VLOOKUP("Call of Duty Pass",Parâmetros!$A$11:$B$13,2,0),0)*K1152</f>
        <v>0</v>
      </c>
      <c r="P1152" s="10">
        <f>(L1152*K1152+M1152+N1152+O1152)*IF(F1152="Promoção",1-Parâmetros!$B$22,1)</f>
        <v>129.43799999999999</v>
      </c>
      <c r="Q1152" s="10">
        <f>Parâmetros!$B$20*K1152</f>
        <v>72</v>
      </c>
      <c r="R1152" s="10">
        <f>P1152-Q1152</f>
        <v>57.437999999999988</v>
      </c>
    </row>
    <row r="1153" spans="1:18">
      <c r="A1153">
        <v>1152</v>
      </c>
      <c r="B1153" s="8">
        <v>45646</v>
      </c>
      <c r="C1153" t="s">
        <v>7</v>
      </c>
      <c r="D1153" t="s">
        <v>46</v>
      </c>
      <c r="E1153" t="s">
        <v>55</v>
      </c>
      <c r="F1153" t="s">
        <v>54</v>
      </c>
      <c r="G1153" t="s">
        <v>43</v>
      </c>
      <c r="H1153" t="s">
        <v>43</v>
      </c>
      <c r="I1153" t="s">
        <v>44</v>
      </c>
      <c r="J1153" t="s">
        <v>49</v>
      </c>
      <c r="K1153" s="9">
        <v>30</v>
      </c>
      <c r="L1153" s="10">
        <f>IFERROR(VLOOKUP(C1153,Parâmetros!$A$5:$D$7,IF(D1153="Mensal",2,IF(D1153="Trimestral",3,4)),0),0)</f>
        <v>14.99</v>
      </c>
      <c r="M1153" s="10">
        <f>IF(G1153="Sim",VLOOKUP("EA Play",Parâmetros!$A$11:$B$13,2,0),0)*K1153</f>
        <v>149.70000000000002</v>
      </c>
      <c r="N1153" s="10">
        <f>IF(H1153="Sim",VLOOKUP("Minecraft Pass",Parâmetros!$A$11:$B$13,2,0),0)*K1153</f>
        <v>119.7</v>
      </c>
      <c r="O1153" s="10">
        <f>IF(I1153="Sim",VLOOKUP("Call of Duty Pass",Parâmetros!$A$11:$B$13,2,0),0)*K1153</f>
        <v>0</v>
      </c>
      <c r="P1153" s="10">
        <f>(L1153*K1153+M1153+N1153+O1153)*IF(F1153="Promoção",1-Parâmetros!$B$22,1)</f>
        <v>647.19000000000005</v>
      </c>
      <c r="Q1153" s="10">
        <f>Parâmetros!$B$20*K1153</f>
        <v>360</v>
      </c>
      <c r="R1153" s="10">
        <f>P1153-Q1153</f>
        <v>287.19000000000005</v>
      </c>
    </row>
    <row r="1154" spans="1:18">
      <c r="A1154">
        <v>1153</v>
      </c>
      <c r="B1154" s="8">
        <v>45303</v>
      </c>
      <c r="C1154" t="s">
        <v>7</v>
      </c>
      <c r="D1154" t="s">
        <v>50</v>
      </c>
      <c r="E1154" t="s">
        <v>41</v>
      </c>
      <c r="F1154" t="s">
        <v>52</v>
      </c>
      <c r="G1154" t="s">
        <v>43</v>
      </c>
      <c r="H1154" t="s">
        <v>43</v>
      </c>
      <c r="I1154" t="s">
        <v>44</v>
      </c>
      <c r="J1154" t="s">
        <v>45</v>
      </c>
      <c r="K1154" s="9">
        <v>29</v>
      </c>
      <c r="L1154" s="10">
        <f>IFERROR(VLOOKUP(C1154,Parâmetros!$A$5:$D$7,IF(D1154="Mensal",2,IF(D1154="Trimestral",3,4)),0),0)</f>
        <v>149</v>
      </c>
      <c r="M1154" s="10">
        <f>IF(G1154="Sim",VLOOKUP("EA Play",Parâmetros!$A$11:$B$13,2,0),0)*K1154</f>
        <v>144.71</v>
      </c>
      <c r="N1154" s="10">
        <f>IF(H1154="Sim",VLOOKUP("Minecraft Pass",Parâmetros!$A$11:$B$13,2,0),0)*K1154</f>
        <v>115.71000000000001</v>
      </c>
      <c r="O1154" s="10">
        <f>IF(I1154="Sim",VLOOKUP("Call of Duty Pass",Parâmetros!$A$11:$B$13,2,0),0)*K1154</f>
        <v>0</v>
      </c>
      <c r="P1154" s="10">
        <f>(L1154*K1154+M1154+N1154+O1154)*IF(F1154="Promoção",1-Parâmetros!$B$22,1)</f>
        <v>4581.42</v>
      </c>
      <c r="Q1154" s="10">
        <f>Parâmetros!$B$20*K1154</f>
        <v>348</v>
      </c>
      <c r="R1154" s="10">
        <f>P1154-Q1154</f>
        <v>4233.42</v>
      </c>
    </row>
    <row r="1155" spans="1:18">
      <c r="A1155">
        <v>1154</v>
      </c>
      <c r="B1155" s="8">
        <v>45806</v>
      </c>
      <c r="C1155" t="s">
        <v>6</v>
      </c>
      <c r="D1155" t="s">
        <v>46</v>
      </c>
      <c r="E1155" t="s">
        <v>41</v>
      </c>
      <c r="F1155" t="s">
        <v>48</v>
      </c>
      <c r="G1155" t="s">
        <v>43</v>
      </c>
      <c r="H1155" t="s">
        <v>44</v>
      </c>
      <c r="I1155" t="s">
        <v>44</v>
      </c>
      <c r="J1155" t="s">
        <v>49</v>
      </c>
      <c r="K1155" s="9">
        <v>25</v>
      </c>
      <c r="L1155" s="10">
        <f>IFERROR(VLOOKUP(C1155,Parâmetros!$A$5:$D$7,IF(D1155="Mensal",2,IF(D1155="Trimestral",3,4)),0),0)</f>
        <v>9.99</v>
      </c>
      <c r="M1155" s="10">
        <f>IF(G1155="Sim",VLOOKUP("EA Play",Parâmetros!$A$11:$B$13,2,0),0)*K1155</f>
        <v>124.75</v>
      </c>
      <c r="N1155" s="10">
        <f>IF(H1155="Sim",VLOOKUP("Minecraft Pass",Parâmetros!$A$11:$B$13,2,0),0)*K1155</f>
        <v>0</v>
      </c>
      <c r="O1155" s="10">
        <f>IF(I1155="Sim",VLOOKUP("Call of Duty Pass",Parâmetros!$A$11:$B$13,2,0),0)*K1155</f>
        <v>0</v>
      </c>
      <c r="P1155" s="10">
        <f>(L1155*K1155+M1155+N1155+O1155)*IF(F1155="Promoção",1-Parâmetros!$B$22,1)</f>
        <v>374.5</v>
      </c>
      <c r="Q1155" s="10">
        <f>Parâmetros!$B$20*K1155</f>
        <v>300</v>
      </c>
      <c r="R1155" s="10">
        <f>P1155-Q1155</f>
        <v>74.5</v>
      </c>
    </row>
    <row r="1156" spans="1:18">
      <c r="A1156">
        <v>1155</v>
      </c>
      <c r="B1156" s="8">
        <v>45982</v>
      </c>
      <c r="C1156" t="s">
        <v>6</v>
      </c>
      <c r="D1156" t="s">
        <v>46</v>
      </c>
      <c r="E1156" t="s">
        <v>53</v>
      </c>
      <c r="F1156" t="s">
        <v>52</v>
      </c>
      <c r="G1156" t="s">
        <v>43</v>
      </c>
      <c r="H1156" t="s">
        <v>44</v>
      </c>
      <c r="I1156" t="s">
        <v>44</v>
      </c>
      <c r="J1156" t="s">
        <v>45</v>
      </c>
      <c r="K1156" s="9">
        <v>28</v>
      </c>
      <c r="L1156" s="10">
        <f>IFERROR(VLOOKUP(C1156,Parâmetros!$A$5:$D$7,IF(D1156="Mensal",2,IF(D1156="Trimestral",3,4)),0),0)</f>
        <v>9.99</v>
      </c>
      <c r="M1156" s="10">
        <f>IF(G1156="Sim",VLOOKUP("EA Play",Parâmetros!$A$11:$B$13,2,0),0)*K1156</f>
        <v>139.72</v>
      </c>
      <c r="N1156" s="10">
        <f>IF(H1156="Sim",VLOOKUP("Minecraft Pass",Parâmetros!$A$11:$B$13,2,0),0)*K1156</f>
        <v>0</v>
      </c>
      <c r="O1156" s="10">
        <f>IF(I1156="Sim",VLOOKUP("Call of Duty Pass",Parâmetros!$A$11:$B$13,2,0),0)*K1156</f>
        <v>0</v>
      </c>
      <c r="P1156" s="10">
        <f>(L1156*K1156+M1156+N1156+O1156)*IF(F1156="Promoção",1-Parâmetros!$B$22,1)</f>
        <v>419.44000000000005</v>
      </c>
      <c r="Q1156" s="10">
        <f>Parâmetros!$B$20*K1156</f>
        <v>336</v>
      </c>
      <c r="R1156" s="10">
        <f>P1156-Q1156</f>
        <v>83.440000000000055</v>
      </c>
    </row>
    <row r="1157" spans="1:18">
      <c r="A1157">
        <v>1156</v>
      </c>
      <c r="B1157" s="8">
        <v>45341</v>
      </c>
      <c r="C1157" t="s">
        <v>7</v>
      </c>
      <c r="D1157" t="s">
        <v>46</v>
      </c>
      <c r="E1157" t="s">
        <v>55</v>
      </c>
      <c r="F1157" t="s">
        <v>48</v>
      </c>
      <c r="G1157" t="s">
        <v>43</v>
      </c>
      <c r="H1157" t="s">
        <v>44</v>
      </c>
      <c r="I1157" t="s">
        <v>44</v>
      </c>
      <c r="J1157" t="s">
        <v>49</v>
      </c>
      <c r="K1157" s="9">
        <v>19</v>
      </c>
      <c r="L1157" s="10">
        <f>IFERROR(VLOOKUP(C1157,Parâmetros!$A$5:$D$7,IF(D1157="Mensal",2,IF(D1157="Trimestral",3,4)),0),0)</f>
        <v>14.99</v>
      </c>
      <c r="M1157" s="10">
        <f>IF(G1157="Sim",VLOOKUP("EA Play",Parâmetros!$A$11:$B$13,2,0),0)*K1157</f>
        <v>94.81</v>
      </c>
      <c r="N1157" s="10">
        <f>IF(H1157="Sim",VLOOKUP("Minecraft Pass",Parâmetros!$A$11:$B$13,2,0),0)*K1157</f>
        <v>0</v>
      </c>
      <c r="O1157" s="10">
        <f>IF(I1157="Sim",VLOOKUP("Call of Duty Pass",Parâmetros!$A$11:$B$13,2,0),0)*K1157</f>
        <v>0</v>
      </c>
      <c r="P1157" s="10">
        <f>(L1157*K1157+M1157+N1157+O1157)*IF(F1157="Promoção",1-Parâmetros!$B$22,1)</f>
        <v>379.62</v>
      </c>
      <c r="Q1157" s="10">
        <f>Parâmetros!$B$20*K1157</f>
        <v>228</v>
      </c>
      <c r="R1157" s="10">
        <f>P1157-Q1157</f>
        <v>151.62</v>
      </c>
    </row>
    <row r="1158" spans="1:18">
      <c r="A1158">
        <v>1157</v>
      </c>
      <c r="B1158" s="8">
        <v>45316</v>
      </c>
      <c r="C1158" t="s">
        <v>7</v>
      </c>
      <c r="D1158" t="s">
        <v>46</v>
      </c>
      <c r="E1158" t="s">
        <v>41</v>
      </c>
      <c r="F1158" t="s">
        <v>42</v>
      </c>
      <c r="G1158" t="s">
        <v>43</v>
      </c>
      <c r="H1158" t="s">
        <v>44</v>
      </c>
      <c r="I1158" t="s">
        <v>44</v>
      </c>
      <c r="J1158" t="s">
        <v>49</v>
      </c>
      <c r="K1158" s="9">
        <v>3</v>
      </c>
      <c r="L1158" s="10">
        <f>IFERROR(VLOOKUP(C1158,Parâmetros!$A$5:$D$7,IF(D1158="Mensal",2,IF(D1158="Trimestral",3,4)),0),0)</f>
        <v>14.99</v>
      </c>
      <c r="M1158" s="10">
        <f>IF(G1158="Sim",VLOOKUP("EA Play",Parâmetros!$A$11:$B$13,2,0),0)*K1158</f>
        <v>14.97</v>
      </c>
      <c r="N1158" s="10">
        <f>IF(H1158="Sim",VLOOKUP("Minecraft Pass",Parâmetros!$A$11:$B$13,2,0),0)*K1158</f>
        <v>0</v>
      </c>
      <c r="O1158" s="10">
        <f>IF(I1158="Sim",VLOOKUP("Call of Duty Pass",Parâmetros!$A$11:$B$13,2,0),0)*K1158</f>
        <v>0</v>
      </c>
      <c r="P1158" s="10">
        <f>(L1158*K1158+M1158+N1158+O1158)*IF(F1158="Promoção",1-Parâmetros!$B$22,1)</f>
        <v>59.94</v>
      </c>
      <c r="Q1158" s="10">
        <f>Parâmetros!$B$20*K1158</f>
        <v>36</v>
      </c>
      <c r="R1158" s="10">
        <f>P1158-Q1158</f>
        <v>23.939999999999998</v>
      </c>
    </row>
    <row r="1159" spans="1:18">
      <c r="A1159">
        <v>1158</v>
      </c>
      <c r="B1159" s="8">
        <v>45836</v>
      </c>
      <c r="C1159" t="s">
        <v>7</v>
      </c>
      <c r="D1159" t="s">
        <v>46</v>
      </c>
      <c r="E1159" t="s">
        <v>41</v>
      </c>
      <c r="F1159" t="s">
        <v>42</v>
      </c>
      <c r="G1159" t="s">
        <v>44</v>
      </c>
      <c r="H1159" t="s">
        <v>44</v>
      </c>
      <c r="I1159" t="s">
        <v>44</v>
      </c>
      <c r="J1159" t="s">
        <v>49</v>
      </c>
      <c r="K1159" s="9">
        <v>30</v>
      </c>
      <c r="L1159" s="10">
        <f>IFERROR(VLOOKUP(C1159,Parâmetros!$A$5:$D$7,IF(D1159="Mensal",2,IF(D1159="Trimestral",3,4)),0),0)</f>
        <v>14.99</v>
      </c>
      <c r="M1159" s="10">
        <f>IF(G1159="Sim",VLOOKUP("EA Play",Parâmetros!$A$11:$B$13,2,0),0)*K1159</f>
        <v>0</v>
      </c>
      <c r="N1159" s="10">
        <f>IF(H1159="Sim",VLOOKUP("Minecraft Pass",Parâmetros!$A$11:$B$13,2,0),0)*K1159</f>
        <v>0</v>
      </c>
      <c r="O1159" s="10">
        <f>IF(I1159="Sim",VLOOKUP("Call of Duty Pass",Parâmetros!$A$11:$B$13,2,0),0)*K1159</f>
        <v>0</v>
      </c>
      <c r="P1159" s="10">
        <f>(L1159*K1159+M1159+N1159+O1159)*IF(F1159="Promoção",1-Parâmetros!$B$22,1)</f>
        <v>449.7</v>
      </c>
      <c r="Q1159" s="10">
        <f>Parâmetros!$B$20*K1159</f>
        <v>360</v>
      </c>
      <c r="R1159" s="10">
        <f>P1159-Q1159</f>
        <v>89.699999999999989</v>
      </c>
    </row>
    <row r="1160" spans="1:18">
      <c r="A1160">
        <v>1159</v>
      </c>
      <c r="B1160" s="8">
        <v>45997</v>
      </c>
      <c r="C1160" t="s">
        <v>7</v>
      </c>
      <c r="D1160" t="s">
        <v>50</v>
      </c>
      <c r="E1160" t="s">
        <v>55</v>
      </c>
      <c r="F1160" t="s">
        <v>54</v>
      </c>
      <c r="G1160" t="s">
        <v>44</v>
      </c>
      <c r="H1160" t="s">
        <v>44</v>
      </c>
      <c r="I1160" t="s">
        <v>43</v>
      </c>
      <c r="J1160" t="s">
        <v>49</v>
      </c>
      <c r="K1160" s="9">
        <v>3</v>
      </c>
      <c r="L1160" s="10">
        <f>IFERROR(VLOOKUP(C1160,Parâmetros!$A$5:$D$7,IF(D1160="Mensal",2,IF(D1160="Trimestral",3,4)),0),0)</f>
        <v>149</v>
      </c>
      <c r="M1160" s="10">
        <f>IF(G1160="Sim",VLOOKUP("EA Play",Parâmetros!$A$11:$B$13,2,0),0)*K1160</f>
        <v>0</v>
      </c>
      <c r="N1160" s="10">
        <f>IF(H1160="Sim",VLOOKUP("Minecraft Pass",Parâmetros!$A$11:$B$13,2,0),0)*K1160</f>
        <v>0</v>
      </c>
      <c r="O1160" s="10">
        <f>IF(I1160="Sim",VLOOKUP("Call of Duty Pass",Parâmetros!$A$11:$B$13,2,0),0)*K1160</f>
        <v>20.97</v>
      </c>
      <c r="P1160" s="10">
        <f>(L1160*K1160+M1160+N1160+O1160)*IF(F1160="Promoção",1-Parâmetros!$B$22,1)</f>
        <v>421.17300000000006</v>
      </c>
      <c r="Q1160" s="10">
        <f>Parâmetros!$B$20*K1160</f>
        <v>36</v>
      </c>
      <c r="R1160" s="10">
        <f>P1160-Q1160</f>
        <v>385.17300000000006</v>
      </c>
    </row>
    <row r="1161" spans="1:18">
      <c r="A1161">
        <v>1160</v>
      </c>
      <c r="B1161" s="8">
        <v>45442</v>
      </c>
      <c r="C1161" t="s">
        <v>7</v>
      </c>
      <c r="D1161" t="s">
        <v>40</v>
      </c>
      <c r="E1161" t="s">
        <v>51</v>
      </c>
      <c r="F1161" t="s">
        <v>42</v>
      </c>
      <c r="G1161" t="s">
        <v>44</v>
      </c>
      <c r="H1161" t="s">
        <v>44</v>
      </c>
      <c r="I1161" t="s">
        <v>44</v>
      </c>
      <c r="J1161" t="s">
        <v>45</v>
      </c>
      <c r="K1161" s="9">
        <v>20</v>
      </c>
      <c r="L1161" s="10">
        <f>IFERROR(VLOOKUP(C1161,Parâmetros!$A$5:$D$7,IF(D1161="Mensal",2,IF(D1161="Trimestral",3,4)),0),0)</f>
        <v>40</v>
      </c>
      <c r="M1161" s="10">
        <f>IF(G1161="Sim",VLOOKUP("EA Play",Parâmetros!$A$11:$B$13,2,0),0)*K1161</f>
        <v>0</v>
      </c>
      <c r="N1161" s="10">
        <f>IF(H1161="Sim",VLOOKUP("Minecraft Pass",Parâmetros!$A$11:$B$13,2,0),0)*K1161</f>
        <v>0</v>
      </c>
      <c r="O1161" s="10">
        <f>IF(I1161="Sim",VLOOKUP("Call of Duty Pass",Parâmetros!$A$11:$B$13,2,0),0)*K1161</f>
        <v>0</v>
      </c>
      <c r="P1161" s="10">
        <f>(L1161*K1161+M1161+N1161+O1161)*IF(F1161="Promoção",1-Parâmetros!$B$22,1)</f>
        <v>800</v>
      </c>
      <c r="Q1161" s="10">
        <f>Parâmetros!$B$20*K1161</f>
        <v>240</v>
      </c>
      <c r="R1161" s="10">
        <f>P1161-Q1161</f>
        <v>560</v>
      </c>
    </row>
    <row r="1162" spans="1:18">
      <c r="A1162">
        <v>1161</v>
      </c>
      <c r="B1162" s="8">
        <v>45724</v>
      </c>
      <c r="C1162" t="s">
        <v>7</v>
      </c>
      <c r="D1162" t="s">
        <v>46</v>
      </c>
      <c r="E1162" t="s">
        <v>51</v>
      </c>
      <c r="F1162" t="s">
        <v>52</v>
      </c>
      <c r="G1162" t="s">
        <v>44</v>
      </c>
      <c r="H1162" t="s">
        <v>43</v>
      </c>
      <c r="I1162" t="s">
        <v>44</v>
      </c>
      <c r="J1162" t="s">
        <v>45</v>
      </c>
      <c r="K1162" s="9">
        <v>13</v>
      </c>
      <c r="L1162" s="10">
        <f>IFERROR(VLOOKUP(C1162,Parâmetros!$A$5:$D$7,IF(D1162="Mensal",2,IF(D1162="Trimestral",3,4)),0),0)</f>
        <v>14.99</v>
      </c>
      <c r="M1162" s="10">
        <f>IF(G1162="Sim",VLOOKUP("EA Play",Parâmetros!$A$11:$B$13,2,0),0)*K1162</f>
        <v>0</v>
      </c>
      <c r="N1162" s="10">
        <f>IF(H1162="Sim",VLOOKUP("Minecraft Pass",Parâmetros!$A$11:$B$13,2,0),0)*K1162</f>
        <v>51.870000000000005</v>
      </c>
      <c r="O1162" s="10">
        <f>IF(I1162="Sim",VLOOKUP("Call of Duty Pass",Parâmetros!$A$11:$B$13,2,0),0)*K1162</f>
        <v>0</v>
      </c>
      <c r="P1162" s="10">
        <f>(L1162*K1162+M1162+N1162+O1162)*IF(F1162="Promoção",1-Parâmetros!$B$22,1)</f>
        <v>246.74</v>
      </c>
      <c r="Q1162" s="10">
        <f>Parâmetros!$B$20*K1162</f>
        <v>156</v>
      </c>
      <c r="R1162" s="10">
        <f>P1162-Q1162</f>
        <v>90.740000000000009</v>
      </c>
    </row>
    <row r="1163" spans="1:18">
      <c r="A1163">
        <v>1162</v>
      </c>
      <c r="B1163" s="8">
        <v>45876</v>
      </c>
      <c r="C1163" t="s">
        <v>6</v>
      </c>
      <c r="D1163" t="s">
        <v>46</v>
      </c>
      <c r="E1163" t="s">
        <v>47</v>
      </c>
      <c r="F1163" t="s">
        <v>54</v>
      </c>
      <c r="G1163" t="s">
        <v>43</v>
      </c>
      <c r="H1163" t="s">
        <v>44</v>
      </c>
      <c r="I1163" t="s">
        <v>44</v>
      </c>
      <c r="J1163" t="s">
        <v>49</v>
      </c>
      <c r="K1163" s="9">
        <v>28</v>
      </c>
      <c r="L1163" s="10">
        <f>IFERROR(VLOOKUP(C1163,Parâmetros!$A$5:$D$7,IF(D1163="Mensal",2,IF(D1163="Trimestral",3,4)),0),0)</f>
        <v>9.99</v>
      </c>
      <c r="M1163" s="10">
        <f>IF(G1163="Sim",VLOOKUP("EA Play",Parâmetros!$A$11:$B$13,2,0),0)*K1163</f>
        <v>139.72</v>
      </c>
      <c r="N1163" s="10">
        <f>IF(H1163="Sim",VLOOKUP("Minecraft Pass",Parâmetros!$A$11:$B$13,2,0),0)*K1163</f>
        <v>0</v>
      </c>
      <c r="O1163" s="10">
        <f>IF(I1163="Sim",VLOOKUP("Call of Duty Pass",Parâmetros!$A$11:$B$13,2,0),0)*K1163</f>
        <v>0</v>
      </c>
      <c r="P1163" s="10">
        <f>(L1163*K1163+M1163+N1163+O1163)*IF(F1163="Promoção",1-Parâmetros!$B$22,1)</f>
        <v>377.49600000000004</v>
      </c>
      <c r="Q1163" s="10">
        <f>Parâmetros!$B$20*K1163</f>
        <v>336</v>
      </c>
      <c r="R1163" s="10">
        <f>P1163-Q1163</f>
        <v>41.496000000000038</v>
      </c>
    </row>
    <row r="1164" spans="1:18">
      <c r="A1164">
        <v>1163</v>
      </c>
      <c r="B1164" s="8">
        <v>45573</v>
      </c>
      <c r="C1164" t="s">
        <v>7</v>
      </c>
      <c r="D1164" t="s">
        <v>40</v>
      </c>
      <c r="E1164" t="s">
        <v>41</v>
      </c>
      <c r="F1164" t="s">
        <v>52</v>
      </c>
      <c r="G1164" t="s">
        <v>44</v>
      </c>
      <c r="H1164" t="s">
        <v>44</v>
      </c>
      <c r="I1164" t="s">
        <v>44</v>
      </c>
      <c r="J1164" t="s">
        <v>49</v>
      </c>
      <c r="K1164" s="9">
        <v>27</v>
      </c>
      <c r="L1164" s="10">
        <f>IFERROR(VLOOKUP(C1164,Parâmetros!$A$5:$D$7,IF(D1164="Mensal",2,IF(D1164="Trimestral",3,4)),0),0)</f>
        <v>40</v>
      </c>
      <c r="M1164" s="10">
        <f>IF(G1164="Sim",VLOOKUP("EA Play",Parâmetros!$A$11:$B$13,2,0),0)*K1164</f>
        <v>0</v>
      </c>
      <c r="N1164" s="10">
        <f>IF(H1164="Sim",VLOOKUP("Minecraft Pass",Parâmetros!$A$11:$B$13,2,0),0)*K1164</f>
        <v>0</v>
      </c>
      <c r="O1164" s="10">
        <f>IF(I1164="Sim",VLOOKUP("Call of Duty Pass",Parâmetros!$A$11:$B$13,2,0),0)*K1164</f>
        <v>0</v>
      </c>
      <c r="P1164" s="10">
        <f>(L1164*K1164+M1164+N1164+O1164)*IF(F1164="Promoção",1-Parâmetros!$B$22,1)</f>
        <v>1080</v>
      </c>
      <c r="Q1164" s="10">
        <f>Parâmetros!$B$20*K1164</f>
        <v>324</v>
      </c>
      <c r="R1164" s="10">
        <f>P1164-Q1164</f>
        <v>756</v>
      </c>
    </row>
    <row r="1165" spans="1:18">
      <c r="A1165">
        <v>1164</v>
      </c>
      <c r="B1165" s="8">
        <v>45504</v>
      </c>
      <c r="C1165" t="s">
        <v>6</v>
      </c>
      <c r="D1165" t="s">
        <v>46</v>
      </c>
      <c r="E1165" t="s">
        <v>41</v>
      </c>
      <c r="F1165" t="s">
        <v>42</v>
      </c>
      <c r="G1165" t="s">
        <v>44</v>
      </c>
      <c r="H1165" t="s">
        <v>44</v>
      </c>
      <c r="I1165" t="s">
        <v>44</v>
      </c>
      <c r="J1165" t="s">
        <v>49</v>
      </c>
      <c r="K1165" s="9">
        <v>2</v>
      </c>
      <c r="L1165" s="10">
        <f>IFERROR(VLOOKUP(C1165,Parâmetros!$A$5:$D$7,IF(D1165="Mensal",2,IF(D1165="Trimestral",3,4)),0),0)</f>
        <v>9.99</v>
      </c>
      <c r="M1165" s="10">
        <f>IF(G1165="Sim",VLOOKUP("EA Play",Parâmetros!$A$11:$B$13,2,0),0)*K1165</f>
        <v>0</v>
      </c>
      <c r="N1165" s="10">
        <f>IF(H1165="Sim",VLOOKUP("Minecraft Pass",Parâmetros!$A$11:$B$13,2,0),0)*K1165</f>
        <v>0</v>
      </c>
      <c r="O1165" s="10">
        <f>IF(I1165="Sim",VLOOKUP("Call of Duty Pass",Parâmetros!$A$11:$B$13,2,0),0)*K1165</f>
        <v>0</v>
      </c>
      <c r="P1165" s="10">
        <f>(L1165*K1165+M1165+N1165+O1165)*IF(F1165="Promoção",1-Parâmetros!$B$22,1)</f>
        <v>19.98</v>
      </c>
      <c r="Q1165" s="10">
        <f>Parâmetros!$B$20*K1165</f>
        <v>24</v>
      </c>
      <c r="R1165" s="10">
        <f>P1165-Q1165</f>
        <v>-4.0199999999999996</v>
      </c>
    </row>
    <row r="1166" spans="1:18">
      <c r="A1166">
        <v>1165</v>
      </c>
      <c r="B1166" s="8">
        <v>46018</v>
      </c>
      <c r="C1166" t="s">
        <v>6</v>
      </c>
      <c r="D1166" t="s">
        <v>46</v>
      </c>
      <c r="E1166" t="s">
        <v>41</v>
      </c>
      <c r="F1166" t="s">
        <v>52</v>
      </c>
      <c r="G1166" t="s">
        <v>44</v>
      </c>
      <c r="H1166" t="s">
        <v>44</v>
      </c>
      <c r="I1166" t="s">
        <v>44</v>
      </c>
      <c r="J1166" t="s">
        <v>49</v>
      </c>
      <c r="K1166" s="9">
        <v>25</v>
      </c>
      <c r="L1166" s="10">
        <f>IFERROR(VLOOKUP(C1166,Parâmetros!$A$5:$D$7,IF(D1166="Mensal",2,IF(D1166="Trimestral",3,4)),0),0)</f>
        <v>9.99</v>
      </c>
      <c r="M1166" s="10">
        <f>IF(G1166="Sim",VLOOKUP("EA Play",Parâmetros!$A$11:$B$13,2,0),0)*K1166</f>
        <v>0</v>
      </c>
      <c r="N1166" s="10">
        <f>IF(H1166="Sim",VLOOKUP("Minecraft Pass",Parâmetros!$A$11:$B$13,2,0),0)*K1166</f>
        <v>0</v>
      </c>
      <c r="O1166" s="10">
        <f>IF(I1166="Sim",VLOOKUP("Call of Duty Pass",Parâmetros!$A$11:$B$13,2,0),0)*K1166</f>
        <v>0</v>
      </c>
      <c r="P1166" s="10">
        <f>(L1166*K1166+M1166+N1166+O1166)*IF(F1166="Promoção",1-Parâmetros!$B$22,1)</f>
        <v>249.75</v>
      </c>
      <c r="Q1166" s="10">
        <f>Parâmetros!$B$20*K1166</f>
        <v>300</v>
      </c>
      <c r="R1166" s="10">
        <f>P1166-Q1166</f>
        <v>-50.25</v>
      </c>
    </row>
    <row r="1167" spans="1:18">
      <c r="A1167">
        <v>1166</v>
      </c>
      <c r="B1167" s="8">
        <v>45779</v>
      </c>
      <c r="C1167" t="s">
        <v>8</v>
      </c>
      <c r="D1167" t="s">
        <v>46</v>
      </c>
      <c r="E1167" t="s">
        <v>41</v>
      </c>
      <c r="F1167" t="s">
        <v>42</v>
      </c>
      <c r="G1167" t="s">
        <v>43</v>
      </c>
      <c r="H1167" t="s">
        <v>44</v>
      </c>
      <c r="I1167" t="s">
        <v>44</v>
      </c>
      <c r="J1167" t="s">
        <v>49</v>
      </c>
      <c r="K1167" s="9">
        <v>11</v>
      </c>
      <c r="L1167" s="10">
        <f>IFERROR(VLOOKUP(C1167,Parâmetros!$A$5:$D$7,IF(D1167="Mensal",2,IF(D1167="Trimestral",3,4)),0),0)</f>
        <v>21.99</v>
      </c>
      <c r="M1167" s="10">
        <f>IF(G1167="Sim",VLOOKUP("EA Play",Parâmetros!$A$11:$B$13,2,0),0)*K1167</f>
        <v>54.89</v>
      </c>
      <c r="N1167" s="10">
        <f>IF(H1167="Sim",VLOOKUP("Minecraft Pass",Parâmetros!$A$11:$B$13,2,0),0)*K1167</f>
        <v>0</v>
      </c>
      <c r="O1167" s="10">
        <f>IF(I1167="Sim",VLOOKUP("Call of Duty Pass",Parâmetros!$A$11:$B$13,2,0),0)*K1167</f>
        <v>0</v>
      </c>
      <c r="P1167" s="10">
        <f>(L1167*K1167+M1167+N1167+O1167)*IF(F1167="Promoção",1-Parâmetros!$B$22,1)</f>
        <v>296.77999999999997</v>
      </c>
      <c r="Q1167" s="10">
        <f>Parâmetros!$B$20*K1167</f>
        <v>132</v>
      </c>
      <c r="R1167" s="10">
        <f>P1167-Q1167</f>
        <v>164.77999999999997</v>
      </c>
    </row>
    <row r="1168" spans="1:18">
      <c r="A1168">
        <v>1167</v>
      </c>
      <c r="B1168" s="8">
        <v>45981</v>
      </c>
      <c r="C1168" t="s">
        <v>6</v>
      </c>
      <c r="D1168" t="s">
        <v>46</v>
      </c>
      <c r="E1168" t="s">
        <v>51</v>
      </c>
      <c r="F1168" t="s">
        <v>48</v>
      </c>
      <c r="G1168" t="s">
        <v>43</v>
      </c>
      <c r="H1168" t="s">
        <v>44</v>
      </c>
      <c r="I1168" t="s">
        <v>44</v>
      </c>
      <c r="J1168" t="s">
        <v>49</v>
      </c>
      <c r="K1168" s="9">
        <v>34</v>
      </c>
      <c r="L1168" s="10">
        <f>IFERROR(VLOOKUP(C1168,Parâmetros!$A$5:$D$7,IF(D1168="Mensal",2,IF(D1168="Trimestral",3,4)),0),0)</f>
        <v>9.99</v>
      </c>
      <c r="M1168" s="10">
        <f>IF(G1168="Sim",VLOOKUP("EA Play",Parâmetros!$A$11:$B$13,2,0),0)*K1168</f>
        <v>169.66</v>
      </c>
      <c r="N1168" s="10">
        <f>IF(H1168="Sim",VLOOKUP("Minecraft Pass",Parâmetros!$A$11:$B$13,2,0),0)*K1168</f>
        <v>0</v>
      </c>
      <c r="O1168" s="10">
        <f>IF(I1168="Sim",VLOOKUP("Call of Duty Pass",Parâmetros!$A$11:$B$13,2,0),0)*K1168</f>
        <v>0</v>
      </c>
      <c r="P1168" s="10">
        <f>(L1168*K1168+M1168+N1168+O1168)*IF(F1168="Promoção",1-Parâmetros!$B$22,1)</f>
        <v>509.32000000000005</v>
      </c>
      <c r="Q1168" s="10">
        <f>Parâmetros!$B$20*K1168</f>
        <v>408</v>
      </c>
      <c r="R1168" s="10">
        <f>P1168-Q1168</f>
        <v>101.32000000000005</v>
      </c>
    </row>
    <row r="1169" spans="1:18">
      <c r="A1169">
        <v>1168</v>
      </c>
      <c r="B1169" s="8">
        <v>45670</v>
      </c>
      <c r="C1169" t="s">
        <v>6</v>
      </c>
      <c r="D1169" t="s">
        <v>40</v>
      </c>
      <c r="E1169" t="s">
        <v>47</v>
      </c>
      <c r="F1169" t="s">
        <v>48</v>
      </c>
      <c r="G1169" t="s">
        <v>43</v>
      </c>
      <c r="H1169" t="s">
        <v>44</v>
      </c>
      <c r="I1169" t="s">
        <v>44</v>
      </c>
      <c r="J1169" t="s">
        <v>45</v>
      </c>
      <c r="K1169" s="9">
        <v>27</v>
      </c>
      <c r="L1169" s="10">
        <f>IFERROR(VLOOKUP(C1169,Parâmetros!$A$5:$D$7,IF(D1169="Mensal",2,IF(D1169="Trimestral",3,4)),0),0)</f>
        <v>27</v>
      </c>
      <c r="M1169" s="10">
        <f>IF(G1169="Sim",VLOOKUP("EA Play",Parâmetros!$A$11:$B$13,2,0),0)*K1169</f>
        <v>134.73000000000002</v>
      </c>
      <c r="N1169" s="10">
        <f>IF(H1169="Sim",VLOOKUP("Minecraft Pass",Parâmetros!$A$11:$B$13,2,0),0)*K1169</f>
        <v>0</v>
      </c>
      <c r="O1169" s="10">
        <f>IF(I1169="Sim",VLOOKUP("Call of Duty Pass",Parâmetros!$A$11:$B$13,2,0),0)*K1169</f>
        <v>0</v>
      </c>
      <c r="P1169" s="10">
        <f>(L1169*K1169+M1169+N1169+O1169)*IF(F1169="Promoção",1-Parâmetros!$B$22,1)</f>
        <v>863.73</v>
      </c>
      <c r="Q1169" s="10">
        <f>Parâmetros!$B$20*K1169</f>
        <v>324</v>
      </c>
      <c r="R1169" s="10">
        <f>P1169-Q1169</f>
        <v>539.73</v>
      </c>
    </row>
    <row r="1170" spans="1:18">
      <c r="A1170">
        <v>1169</v>
      </c>
      <c r="B1170" s="8">
        <v>45315</v>
      </c>
      <c r="C1170" t="s">
        <v>8</v>
      </c>
      <c r="D1170" t="s">
        <v>46</v>
      </c>
      <c r="E1170" t="s">
        <v>51</v>
      </c>
      <c r="F1170" t="s">
        <v>54</v>
      </c>
      <c r="G1170" t="s">
        <v>43</v>
      </c>
      <c r="H1170" t="s">
        <v>44</v>
      </c>
      <c r="I1170" t="s">
        <v>44</v>
      </c>
      <c r="J1170" t="s">
        <v>45</v>
      </c>
      <c r="K1170" s="9">
        <v>8</v>
      </c>
      <c r="L1170" s="10">
        <f>IFERROR(VLOOKUP(C1170,Parâmetros!$A$5:$D$7,IF(D1170="Mensal",2,IF(D1170="Trimestral",3,4)),0),0)</f>
        <v>21.99</v>
      </c>
      <c r="M1170" s="10">
        <f>IF(G1170="Sim",VLOOKUP("EA Play",Parâmetros!$A$11:$B$13,2,0),0)*K1170</f>
        <v>39.92</v>
      </c>
      <c r="N1170" s="10">
        <f>IF(H1170="Sim",VLOOKUP("Minecraft Pass",Parâmetros!$A$11:$B$13,2,0),0)*K1170</f>
        <v>0</v>
      </c>
      <c r="O1170" s="10">
        <f>IF(I1170="Sim",VLOOKUP("Call of Duty Pass",Parâmetros!$A$11:$B$13,2,0),0)*K1170</f>
        <v>0</v>
      </c>
      <c r="P1170" s="10">
        <f>(L1170*K1170+M1170+N1170+O1170)*IF(F1170="Promoção",1-Parâmetros!$B$22,1)</f>
        <v>194.25599999999997</v>
      </c>
      <c r="Q1170" s="10">
        <f>Parâmetros!$B$20*K1170</f>
        <v>96</v>
      </c>
      <c r="R1170" s="10">
        <f>P1170-Q1170</f>
        <v>98.255999999999972</v>
      </c>
    </row>
    <row r="1171" spans="1:18">
      <c r="A1171">
        <v>1170</v>
      </c>
      <c r="B1171" s="8">
        <v>45391</v>
      </c>
      <c r="C1171" t="s">
        <v>6</v>
      </c>
      <c r="D1171" t="s">
        <v>46</v>
      </c>
      <c r="E1171" t="s">
        <v>41</v>
      </c>
      <c r="F1171" t="s">
        <v>42</v>
      </c>
      <c r="G1171" t="s">
        <v>44</v>
      </c>
      <c r="H1171" t="s">
        <v>44</v>
      </c>
      <c r="I1171" t="s">
        <v>44</v>
      </c>
      <c r="J1171" t="s">
        <v>45</v>
      </c>
      <c r="K1171" s="9">
        <v>27</v>
      </c>
      <c r="L1171" s="10">
        <f>IFERROR(VLOOKUP(C1171,Parâmetros!$A$5:$D$7,IF(D1171="Mensal",2,IF(D1171="Trimestral",3,4)),0),0)</f>
        <v>9.99</v>
      </c>
      <c r="M1171" s="10">
        <f>IF(G1171="Sim",VLOOKUP("EA Play",Parâmetros!$A$11:$B$13,2,0),0)*K1171</f>
        <v>0</v>
      </c>
      <c r="N1171" s="10">
        <f>IF(H1171="Sim",VLOOKUP("Minecraft Pass",Parâmetros!$A$11:$B$13,2,0),0)*K1171</f>
        <v>0</v>
      </c>
      <c r="O1171" s="10">
        <f>IF(I1171="Sim",VLOOKUP("Call of Duty Pass",Parâmetros!$A$11:$B$13,2,0),0)*K1171</f>
        <v>0</v>
      </c>
      <c r="P1171" s="10">
        <f>(L1171*K1171+M1171+N1171+O1171)*IF(F1171="Promoção",1-Parâmetros!$B$22,1)</f>
        <v>269.73</v>
      </c>
      <c r="Q1171" s="10">
        <f>Parâmetros!$B$20*K1171</f>
        <v>324</v>
      </c>
      <c r="R1171" s="10">
        <f>P1171-Q1171</f>
        <v>-54.269999999999982</v>
      </c>
    </row>
    <row r="1172" spans="1:18">
      <c r="A1172">
        <v>1171</v>
      </c>
      <c r="B1172" s="8">
        <v>45652</v>
      </c>
      <c r="C1172" t="s">
        <v>8</v>
      </c>
      <c r="D1172" t="s">
        <v>46</v>
      </c>
      <c r="E1172" t="s">
        <v>47</v>
      </c>
      <c r="F1172" t="s">
        <v>42</v>
      </c>
      <c r="G1172" t="s">
        <v>43</v>
      </c>
      <c r="H1172" t="s">
        <v>43</v>
      </c>
      <c r="I1172" t="s">
        <v>44</v>
      </c>
      <c r="J1172" t="s">
        <v>45</v>
      </c>
      <c r="K1172" s="9">
        <v>21</v>
      </c>
      <c r="L1172" s="10">
        <f>IFERROR(VLOOKUP(C1172,Parâmetros!$A$5:$D$7,IF(D1172="Mensal",2,IF(D1172="Trimestral",3,4)),0),0)</f>
        <v>21.99</v>
      </c>
      <c r="M1172" s="10">
        <f>IF(G1172="Sim",VLOOKUP("EA Play",Parâmetros!$A$11:$B$13,2,0),0)*K1172</f>
        <v>104.79</v>
      </c>
      <c r="N1172" s="10">
        <f>IF(H1172="Sim",VLOOKUP("Minecraft Pass",Parâmetros!$A$11:$B$13,2,0),0)*K1172</f>
        <v>83.79</v>
      </c>
      <c r="O1172" s="10">
        <f>IF(I1172="Sim",VLOOKUP("Call of Duty Pass",Parâmetros!$A$11:$B$13,2,0),0)*K1172</f>
        <v>0</v>
      </c>
      <c r="P1172" s="10">
        <f>(L1172*K1172+M1172+N1172+O1172)*IF(F1172="Promoção",1-Parâmetros!$B$22,1)</f>
        <v>650.36999999999989</v>
      </c>
      <c r="Q1172" s="10">
        <f>Parâmetros!$B$20*K1172</f>
        <v>252</v>
      </c>
      <c r="R1172" s="10">
        <f>P1172-Q1172</f>
        <v>398.36999999999989</v>
      </c>
    </row>
    <row r="1173" spans="1:18">
      <c r="A1173">
        <v>1172</v>
      </c>
      <c r="B1173" s="8">
        <v>45806</v>
      </c>
      <c r="C1173" t="s">
        <v>7</v>
      </c>
      <c r="D1173" t="s">
        <v>46</v>
      </c>
      <c r="E1173" t="s">
        <v>55</v>
      </c>
      <c r="F1173" t="s">
        <v>48</v>
      </c>
      <c r="G1173" t="s">
        <v>44</v>
      </c>
      <c r="H1173" t="s">
        <v>44</v>
      </c>
      <c r="I1173" t="s">
        <v>44</v>
      </c>
      <c r="J1173" t="s">
        <v>45</v>
      </c>
      <c r="K1173" s="9">
        <v>12</v>
      </c>
      <c r="L1173" s="10">
        <f>IFERROR(VLOOKUP(C1173,Parâmetros!$A$5:$D$7,IF(D1173="Mensal",2,IF(D1173="Trimestral",3,4)),0),0)</f>
        <v>14.99</v>
      </c>
      <c r="M1173" s="10">
        <f>IF(G1173="Sim",VLOOKUP("EA Play",Parâmetros!$A$11:$B$13,2,0),0)*K1173</f>
        <v>0</v>
      </c>
      <c r="N1173" s="10">
        <f>IF(H1173="Sim",VLOOKUP("Minecraft Pass",Parâmetros!$A$11:$B$13,2,0),0)*K1173</f>
        <v>0</v>
      </c>
      <c r="O1173" s="10">
        <f>IF(I1173="Sim",VLOOKUP("Call of Duty Pass",Parâmetros!$A$11:$B$13,2,0),0)*K1173</f>
        <v>0</v>
      </c>
      <c r="P1173" s="10">
        <f>(L1173*K1173+M1173+N1173+O1173)*IF(F1173="Promoção",1-Parâmetros!$B$22,1)</f>
        <v>179.88</v>
      </c>
      <c r="Q1173" s="10">
        <f>Parâmetros!$B$20*K1173</f>
        <v>144</v>
      </c>
      <c r="R1173" s="10">
        <f>P1173-Q1173</f>
        <v>35.879999999999995</v>
      </c>
    </row>
    <row r="1174" spans="1:18">
      <c r="A1174">
        <v>1173</v>
      </c>
      <c r="B1174" s="8">
        <v>45701</v>
      </c>
      <c r="C1174" t="s">
        <v>6</v>
      </c>
      <c r="D1174" t="s">
        <v>40</v>
      </c>
      <c r="E1174" t="s">
        <v>41</v>
      </c>
      <c r="F1174" t="s">
        <v>48</v>
      </c>
      <c r="G1174" t="s">
        <v>43</v>
      </c>
      <c r="H1174" t="s">
        <v>44</v>
      </c>
      <c r="I1174" t="s">
        <v>44</v>
      </c>
      <c r="J1174" t="s">
        <v>45</v>
      </c>
      <c r="K1174" s="9">
        <v>27</v>
      </c>
      <c r="L1174" s="10">
        <f>IFERROR(VLOOKUP(C1174,Parâmetros!$A$5:$D$7,IF(D1174="Mensal",2,IF(D1174="Trimestral",3,4)),0),0)</f>
        <v>27</v>
      </c>
      <c r="M1174" s="10">
        <f>IF(G1174="Sim",VLOOKUP("EA Play",Parâmetros!$A$11:$B$13,2,0),0)*K1174</f>
        <v>134.73000000000002</v>
      </c>
      <c r="N1174" s="10">
        <f>IF(H1174="Sim",VLOOKUP("Minecraft Pass",Parâmetros!$A$11:$B$13,2,0),0)*K1174</f>
        <v>0</v>
      </c>
      <c r="O1174" s="10">
        <f>IF(I1174="Sim",VLOOKUP("Call of Duty Pass",Parâmetros!$A$11:$B$13,2,0),0)*K1174</f>
        <v>0</v>
      </c>
      <c r="P1174" s="10">
        <f>(L1174*K1174+M1174+N1174+O1174)*IF(F1174="Promoção",1-Parâmetros!$B$22,1)</f>
        <v>863.73</v>
      </c>
      <c r="Q1174" s="10">
        <f>Parâmetros!$B$20*K1174</f>
        <v>324</v>
      </c>
      <c r="R1174" s="10">
        <f>P1174-Q1174</f>
        <v>539.73</v>
      </c>
    </row>
    <row r="1175" spans="1:18">
      <c r="A1175">
        <v>1174</v>
      </c>
      <c r="B1175" s="8">
        <v>45712</v>
      </c>
      <c r="C1175" t="s">
        <v>6</v>
      </c>
      <c r="D1175" t="s">
        <v>46</v>
      </c>
      <c r="E1175" t="s">
        <v>41</v>
      </c>
      <c r="F1175" t="s">
        <v>52</v>
      </c>
      <c r="G1175" t="s">
        <v>44</v>
      </c>
      <c r="H1175" t="s">
        <v>43</v>
      </c>
      <c r="I1175" t="s">
        <v>44</v>
      </c>
      <c r="J1175" t="s">
        <v>49</v>
      </c>
      <c r="K1175" s="9">
        <v>2</v>
      </c>
      <c r="L1175" s="10">
        <f>IFERROR(VLOOKUP(C1175,Parâmetros!$A$5:$D$7,IF(D1175="Mensal",2,IF(D1175="Trimestral",3,4)),0),0)</f>
        <v>9.99</v>
      </c>
      <c r="M1175" s="10">
        <f>IF(G1175="Sim",VLOOKUP("EA Play",Parâmetros!$A$11:$B$13,2,0),0)*K1175</f>
        <v>0</v>
      </c>
      <c r="N1175" s="10">
        <f>IF(H1175="Sim",VLOOKUP("Minecraft Pass",Parâmetros!$A$11:$B$13,2,0),0)*K1175</f>
        <v>7.98</v>
      </c>
      <c r="O1175" s="10">
        <f>IF(I1175="Sim",VLOOKUP("Call of Duty Pass",Parâmetros!$A$11:$B$13,2,0),0)*K1175</f>
        <v>0</v>
      </c>
      <c r="P1175" s="10">
        <f>(L1175*K1175+M1175+N1175+O1175)*IF(F1175="Promoção",1-Parâmetros!$B$22,1)</f>
        <v>27.96</v>
      </c>
      <c r="Q1175" s="10">
        <f>Parâmetros!$B$20*K1175</f>
        <v>24</v>
      </c>
      <c r="R1175" s="10">
        <f>P1175-Q1175</f>
        <v>3.9600000000000009</v>
      </c>
    </row>
    <row r="1176" spans="1:18">
      <c r="A1176">
        <v>1175</v>
      </c>
      <c r="B1176" s="8">
        <v>45624</v>
      </c>
      <c r="C1176" t="s">
        <v>7</v>
      </c>
      <c r="D1176" t="s">
        <v>46</v>
      </c>
      <c r="E1176" t="s">
        <v>47</v>
      </c>
      <c r="F1176" t="s">
        <v>52</v>
      </c>
      <c r="G1176" t="s">
        <v>44</v>
      </c>
      <c r="H1176" t="s">
        <v>43</v>
      </c>
      <c r="I1176" t="s">
        <v>44</v>
      </c>
      <c r="J1176" t="s">
        <v>45</v>
      </c>
      <c r="K1176" s="9">
        <v>25</v>
      </c>
      <c r="L1176" s="10">
        <f>IFERROR(VLOOKUP(C1176,Parâmetros!$A$5:$D$7,IF(D1176="Mensal",2,IF(D1176="Trimestral",3,4)),0),0)</f>
        <v>14.99</v>
      </c>
      <c r="M1176" s="10">
        <f>IF(G1176="Sim",VLOOKUP("EA Play",Parâmetros!$A$11:$B$13,2,0),0)*K1176</f>
        <v>0</v>
      </c>
      <c r="N1176" s="10">
        <f>IF(H1176="Sim",VLOOKUP("Minecraft Pass",Parâmetros!$A$11:$B$13,2,0),0)*K1176</f>
        <v>99.75</v>
      </c>
      <c r="O1176" s="10">
        <f>IF(I1176="Sim",VLOOKUP("Call of Duty Pass",Parâmetros!$A$11:$B$13,2,0),0)*K1176</f>
        <v>0</v>
      </c>
      <c r="P1176" s="10">
        <f>(L1176*K1176+M1176+N1176+O1176)*IF(F1176="Promoção",1-Parâmetros!$B$22,1)</f>
        <v>474.5</v>
      </c>
      <c r="Q1176" s="10">
        <f>Parâmetros!$B$20*K1176</f>
        <v>300</v>
      </c>
      <c r="R1176" s="10">
        <f>P1176-Q1176</f>
        <v>174.5</v>
      </c>
    </row>
    <row r="1177" spans="1:18">
      <c r="A1177">
        <v>1176</v>
      </c>
      <c r="B1177" s="8">
        <v>45857</v>
      </c>
      <c r="C1177" t="s">
        <v>7</v>
      </c>
      <c r="D1177" t="s">
        <v>46</v>
      </c>
      <c r="E1177" t="s">
        <v>55</v>
      </c>
      <c r="F1177" t="s">
        <v>48</v>
      </c>
      <c r="G1177" t="s">
        <v>44</v>
      </c>
      <c r="H1177" t="s">
        <v>43</v>
      </c>
      <c r="I1177" t="s">
        <v>44</v>
      </c>
      <c r="J1177" t="s">
        <v>45</v>
      </c>
      <c r="K1177" s="9">
        <v>13</v>
      </c>
      <c r="L1177" s="10">
        <f>IFERROR(VLOOKUP(C1177,Parâmetros!$A$5:$D$7,IF(D1177="Mensal",2,IF(D1177="Trimestral",3,4)),0),0)</f>
        <v>14.99</v>
      </c>
      <c r="M1177" s="10">
        <f>IF(G1177="Sim",VLOOKUP("EA Play",Parâmetros!$A$11:$B$13,2,0),0)*K1177</f>
        <v>0</v>
      </c>
      <c r="N1177" s="10">
        <f>IF(H1177="Sim",VLOOKUP("Minecraft Pass",Parâmetros!$A$11:$B$13,2,0),0)*K1177</f>
        <v>51.870000000000005</v>
      </c>
      <c r="O1177" s="10">
        <f>IF(I1177="Sim",VLOOKUP("Call of Duty Pass",Parâmetros!$A$11:$B$13,2,0),0)*K1177</f>
        <v>0</v>
      </c>
      <c r="P1177" s="10">
        <f>(L1177*K1177+M1177+N1177+O1177)*IF(F1177="Promoção",1-Parâmetros!$B$22,1)</f>
        <v>246.74</v>
      </c>
      <c r="Q1177" s="10">
        <f>Parâmetros!$B$20*K1177</f>
        <v>156</v>
      </c>
      <c r="R1177" s="10">
        <f>P1177-Q1177</f>
        <v>90.740000000000009</v>
      </c>
    </row>
    <row r="1178" spans="1:18">
      <c r="A1178">
        <v>1177</v>
      </c>
      <c r="B1178" s="8">
        <v>45622</v>
      </c>
      <c r="C1178" t="s">
        <v>6</v>
      </c>
      <c r="D1178" t="s">
        <v>46</v>
      </c>
      <c r="E1178" t="s">
        <v>41</v>
      </c>
      <c r="F1178" t="s">
        <v>48</v>
      </c>
      <c r="G1178" t="s">
        <v>44</v>
      </c>
      <c r="H1178" t="s">
        <v>44</v>
      </c>
      <c r="I1178" t="s">
        <v>44</v>
      </c>
      <c r="J1178" t="s">
        <v>49</v>
      </c>
      <c r="K1178" s="9">
        <v>12</v>
      </c>
      <c r="L1178" s="10">
        <f>IFERROR(VLOOKUP(C1178,Parâmetros!$A$5:$D$7,IF(D1178="Mensal",2,IF(D1178="Trimestral",3,4)),0),0)</f>
        <v>9.99</v>
      </c>
      <c r="M1178" s="10">
        <f>IF(G1178="Sim",VLOOKUP("EA Play",Parâmetros!$A$11:$B$13,2,0),0)*K1178</f>
        <v>0</v>
      </c>
      <c r="N1178" s="10">
        <f>IF(H1178="Sim",VLOOKUP("Minecraft Pass",Parâmetros!$A$11:$B$13,2,0),0)*K1178</f>
        <v>0</v>
      </c>
      <c r="O1178" s="10">
        <f>IF(I1178="Sim",VLOOKUP("Call of Duty Pass",Parâmetros!$A$11:$B$13,2,0),0)*K1178</f>
        <v>0</v>
      </c>
      <c r="P1178" s="10">
        <f>(L1178*K1178+M1178+N1178+O1178)*IF(F1178="Promoção",1-Parâmetros!$B$22,1)</f>
        <v>119.88</v>
      </c>
      <c r="Q1178" s="10">
        <f>Parâmetros!$B$20*K1178</f>
        <v>144</v>
      </c>
      <c r="R1178" s="10">
        <f>P1178-Q1178</f>
        <v>-24.120000000000005</v>
      </c>
    </row>
    <row r="1179" spans="1:18">
      <c r="A1179">
        <v>1178</v>
      </c>
      <c r="B1179" s="8">
        <v>45764</v>
      </c>
      <c r="C1179" t="s">
        <v>7</v>
      </c>
      <c r="D1179" t="s">
        <v>46</v>
      </c>
      <c r="E1179" t="s">
        <v>47</v>
      </c>
      <c r="F1179" t="s">
        <v>42</v>
      </c>
      <c r="G1179" t="s">
        <v>44</v>
      </c>
      <c r="H1179" t="s">
        <v>43</v>
      </c>
      <c r="I1179" t="s">
        <v>44</v>
      </c>
      <c r="J1179" t="s">
        <v>45</v>
      </c>
      <c r="K1179" s="9">
        <v>1</v>
      </c>
      <c r="L1179" s="10">
        <f>IFERROR(VLOOKUP(C1179,Parâmetros!$A$5:$D$7,IF(D1179="Mensal",2,IF(D1179="Trimestral",3,4)),0),0)</f>
        <v>14.99</v>
      </c>
      <c r="M1179" s="10">
        <f>IF(G1179="Sim",VLOOKUP("EA Play",Parâmetros!$A$11:$B$13,2,0),0)*K1179</f>
        <v>0</v>
      </c>
      <c r="N1179" s="10">
        <f>IF(H1179="Sim",VLOOKUP("Minecraft Pass",Parâmetros!$A$11:$B$13,2,0),0)*K1179</f>
        <v>3.99</v>
      </c>
      <c r="O1179" s="10">
        <f>IF(I1179="Sim",VLOOKUP("Call of Duty Pass",Parâmetros!$A$11:$B$13,2,0),0)*K1179</f>
        <v>0</v>
      </c>
      <c r="P1179" s="10">
        <f>(L1179*K1179+M1179+N1179+O1179)*IF(F1179="Promoção",1-Parâmetros!$B$22,1)</f>
        <v>18.98</v>
      </c>
      <c r="Q1179" s="10">
        <f>Parâmetros!$B$20*K1179</f>
        <v>12</v>
      </c>
      <c r="R1179" s="10">
        <f>P1179-Q1179</f>
        <v>6.98</v>
      </c>
    </row>
    <row r="1180" spans="1:18">
      <c r="A1180">
        <v>1179</v>
      </c>
      <c r="B1180" s="8">
        <v>45325</v>
      </c>
      <c r="C1180" t="s">
        <v>7</v>
      </c>
      <c r="D1180" t="s">
        <v>46</v>
      </c>
      <c r="E1180" t="s">
        <v>47</v>
      </c>
      <c r="F1180" t="s">
        <v>48</v>
      </c>
      <c r="G1180" t="s">
        <v>43</v>
      </c>
      <c r="H1180" t="s">
        <v>44</v>
      </c>
      <c r="I1180" t="s">
        <v>44</v>
      </c>
      <c r="J1180" t="s">
        <v>45</v>
      </c>
      <c r="K1180" s="9">
        <v>35</v>
      </c>
      <c r="L1180" s="10">
        <f>IFERROR(VLOOKUP(C1180,Parâmetros!$A$5:$D$7,IF(D1180="Mensal",2,IF(D1180="Trimestral",3,4)),0),0)</f>
        <v>14.99</v>
      </c>
      <c r="M1180" s="10">
        <f>IF(G1180="Sim",VLOOKUP("EA Play",Parâmetros!$A$11:$B$13,2,0),0)*K1180</f>
        <v>174.65</v>
      </c>
      <c r="N1180" s="10">
        <f>IF(H1180="Sim",VLOOKUP("Minecraft Pass",Parâmetros!$A$11:$B$13,2,0),0)*K1180</f>
        <v>0</v>
      </c>
      <c r="O1180" s="10">
        <f>IF(I1180="Sim",VLOOKUP("Call of Duty Pass",Parâmetros!$A$11:$B$13,2,0),0)*K1180</f>
        <v>0</v>
      </c>
      <c r="P1180" s="10">
        <f>(L1180*K1180+M1180+N1180+O1180)*IF(F1180="Promoção",1-Parâmetros!$B$22,1)</f>
        <v>699.3</v>
      </c>
      <c r="Q1180" s="10">
        <f>Parâmetros!$B$20*K1180</f>
        <v>420</v>
      </c>
      <c r="R1180" s="10">
        <f>P1180-Q1180</f>
        <v>279.29999999999995</v>
      </c>
    </row>
    <row r="1181" spans="1:18">
      <c r="A1181">
        <v>1180</v>
      </c>
      <c r="B1181" s="8">
        <v>45415</v>
      </c>
      <c r="C1181" t="s">
        <v>7</v>
      </c>
      <c r="D1181" t="s">
        <v>40</v>
      </c>
      <c r="E1181" t="s">
        <v>53</v>
      </c>
      <c r="F1181" t="s">
        <v>52</v>
      </c>
      <c r="G1181" t="s">
        <v>43</v>
      </c>
      <c r="H1181" t="s">
        <v>44</v>
      </c>
      <c r="I1181" t="s">
        <v>43</v>
      </c>
      <c r="J1181" t="s">
        <v>45</v>
      </c>
      <c r="K1181" s="9">
        <v>3</v>
      </c>
      <c r="L1181" s="10">
        <f>IFERROR(VLOOKUP(C1181,Parâmetros!$A$5:$D$7,IF(D1181="Mensal",2,IF(D1181="Trimestral",3,4)),0),0)</f>
        <v>40</v>
      </c>
      <c r="M1181" s="10">
        <f>IF(G1181="Sim",VLOOKUP("EA Play",Parâmetros!$A$11:$B$13,2,0),0)*K1181</f>
        <v>14.97</v>
      </c>
      <c r="N1181" s="10">
        <f>IF(H1181="Sim",VLOOKUP("Minecraft Pass",Parâmetros!$A$11:$B$13,2,0),0)*K1181</f>
        <v>0</v>
      </c>
      <c r="O1181" s="10">
        <f>IF(I1181="Sim",VLOOKUP("Call of Duty Pass",Parâmetros!$A$11:$B$13,2,0),0)*K1181</f>
        <v>20.97</v>
      </c>
      <c r="P1181" s="10">
        <f>(L1181*K1181+M1181+N1181+O1181)*IF(F1181="Promoção",1-Parâmetros!$B$22,1)</f>
        <v>155.94</v>
      </c>
      <c r="Q1181" s="10">
        <f>Parâmetros!$B$20*K1181</f>
        <v>36</v>
      </c>
      <c r="R1181" s="10">
        <f>P1181-Q1181</f>
        <v>119.94</v>
      </c>
    </row>
    <row r="1182" spans="1:18">
      <c r="A1182">
        <v>1181</v>
      </c>
      <c r="B1182" s="8">
        <v>45664</v>
      </c>
      <c r="C1182" t="s">
        <v>6</v>
      </c>
      <c r="D1182" t="s">
        <v>50</v>
      </c>
      <c r="E1182" t="s">
        <v>47</v>
      </c>
      <c r="F1182" t="s">
        <v>48</v>
      </c>
      <c r="G1182" t="s">
        <v>44</v>
      </c>
      <c r="H1182" t="s">
        <v>43</v>
      </c>
      <c r="I1182" t="s">
        <v>44</v>
      </c>
      <c r="J1182" t="s">
        <v>45</v>
      </c>
      <c r="K1182" s="9">
        <v>8</v>
      </c>
      <c r="L1182" s="10">
        <f>IFERROR(VLOOKUP(C1182,Parâmetros!$A$5:$D$7,IF(D1182="Mensal",2,IF(D1182="Trimestral",3,4)),0),0)</f>
        <v>99</v>
      </c>
      <c r="M1182" s="10">
        <f>IF(G1182="Sim",VLOOKUP("EA Play",Parâmetros!$A$11:$B$13,2,0),0)*K1182</f>
        <v>0</v>
      </c>
      <c r="N1182" s="10">
        <f>IF(H1182="Sim",VLOOKUP("Minecraft Pass",Parâmetros!$A$11:$B$13,2,0),0)*K1182</f>
        <v>31.92</v>
      </c>
      <c r="O1182" s="10">
        <f>IF(I1182="Sim",VLOOKUP("Call of Duty Pass",Parâmetros!$A$11:$B$13,2,0),0)*K1182</f>
        <v>0</v>
      </c>
      <c r="P1182" s="10">
        <f>(L1182*K1182+M1182+N1182+O1182)*IF(F1182="Promoção",1-Parâmetros!$B$22,1)</f>
        <v>823.92</v>
      </c>
      <c r="Q1182" s="10">
        <f>Parâmetros!$B$20*K1182</f>
        <v>96</v>
      </c>
      <c r="R1182" s="10">
        <f>P1182-Q1182</f>
        <v>727.92</v>
      </c>
    </row>
    <row r="1183" spans="1:18">
      <c r="A1183">
        <v>1182</v>
      </c>
      <c r="B1183" s="8">
        <v>45465</v>
      </c>
      <c r="C1183" t="s">
        <v>6</v>
      </c>
      <c r="D1183" t="s">
        <v>40</v>
      </c>
      <c r="E1183" t="s">
        <v>41</v>
      </c>
      <c r="F1183" t="s">
        <v>42</v>
      </c>
      <c r="G1183" t="s">
        <v>44</v>
      </c>
      <c r="H1183" t="s">
        <v>43</v>
      </c>
      <c r="I1183" t="s">
        <v>44</v>
      </c>
      <c r="J1183" t="s">
        <v>45</v>
      </c>
      <c r="K1183" s="9">
        <v>30</v>
      </c>
      <c r="L1183" s="10">
        <f>IFERROR(VLOOKUP(C1183,Parâmetros!$A$5:$D$7,IF(D1183="Mensal",2,IF(D1183="Trimestral",3,4)),0),0)</f>
        <v>27</v>
      </c>
      <c r="M1183" s="10">
        <f>IF(G1183="Sim",VLOOKUP("EA Play",Parâmetros!$A$11:$B$13,2,0),0)*K1183</f>
        <v>0</v>
      </c>
      <c r="N1183" s="10">
        <f>IF(H1183="Sim",VLOOKUP("Minecraft Pass",Parâmetros!$A$11:$B$13,2,0),0)*K1183</f>
        <v>119.7</v>
      </c>
      <c r="O1183" s="10">
        <f>IF(I1183="Sim",VLOOKUP("Call of Duty Pass",Parâmetros!$A$11:$B$13,2,0),0)*K1183</f>
        <v>0</v>
      </c>
      <c r="P1183" s="10">
        <f>(L1183*K1183+M1183+N1183+O1183)*IF(F1183="Promoção",1-Parâmetros!$B$22,1)</f>
        <v>929.7</v>
      </c>
      <c r="Q1183" s="10">
        <f>Parâmetros!$B$20*K1183</f>
        <v>360</v>
      </c>
      <c r="R1183" s="10">
        <f>P1183-Q1183</f>
        <v>569.70000000000005</v>
      </c>
    </row>
    <row r="1184" spans="1:18">
      <c r="A1184">
        <v>1183</v>
      </c>
      <c r="B1184" s="8">
        <v>46018</v>
      </c>
      <c r="C1184" t="s">
        <v>7</v>
      </c>
      <c r="D1184" t="s">
        <v>46</v>
      </c>
      <c r="E1184" t="s">
        <v>41</v>
      </c>
      <c r="F1184" t="s">
        <v>42</v>
      </c>
      <c r="G1184" t="s">
        <v>43</v>
      </c>
      <c r="H1184" t="s">
        <v>44</v>
      </c>
      <c r="I1184" t="s">
        <v>44</v>
      </c>
      <c r="J1184" t="s">
        <v>45</v>
      </c>
      <c r="K1184" s="9">
        <v>3</v>
      </c>
      <c r="L1184" s="10">
        <f>IFERROR(VLOOKUP(C1184,Parâmetros!$A$5:$D$7,IF(D1184="Mensal",2,IF(D1184="Trimestral",3,4)),0),0)</f>
        <v>14.99</v>
      </c>
      <c r="M1184" s="10">
        <f>IF(G1184="Sim",VLOOKUP("EA Play",Parâmetros!$A$11:$B$13,2,0),0)*K1184</f>
        <v>14.97</v>
      </c>
      <c r="N1184" s="10">
        <f>IF(H1184="Sim",VLOOKUP("Minecraft Pass",Parâmetros!$A$11:$B$13,2,0),0)*K1184</f>
        <v>0</v>
      </c>
      <c r="O1184" s="10">
        <f>IF(I1184="Sim",VLOOKUP("Call of Duty Pass",Parâmetros!$A$11:$B$13,2,0),0)*K1184</f>
        <v>0</v>
      </c>
      <c r="P1184" s="10">
        <f>(L1184*K1184+M1184+N1184+O1184)*IF(F1184="Promoção",1-Parâmetros!$B$22,1)</f>
        <v>59.94</v>
      </c>
      <c r="Q1184" s="10">
        <f>Parâmetros!$B$20*K1184</f>
        <v>36</v>
      </c>
      <c r="R1184" s="10">
        <f>P1184-Q1184</f>
        <v>23.939999999999998</v>
      </c>
    </row>
    <row r="1185" spans="1:18">
      <c r="A1185">
        <v>1184</v>
      </c>
      <c r="B1185" s="8">
        <v>45435</v>
      </c>
      <c r="C1185" t="s">
        <v>6</v>
      </c>
      <c r="D1185" t="s">
        <v>46</v>
      </c>
      <c r="E1185" t="s">
        <v>41</v>
      </c>
      <c r="F1185" t="s">
        <v>42</v>
      </c>
      <c r="G1185" t="s">
        <v>43</v>
      </c>
      <c r="H1185" t="s">
        <v>43</v>
      </c>
      <c r="I1185" t="s">
        <v>44</v>
      </c>
      <c r="J1185" t="s">
        <v>49</v>
      </c>
      <c r="K1185" s="9">
        <v>20</v>
      </c>
      <c r="L1185" s="10">
        <f>IFERROR(VLOOKUP(C1185,Parâmetros!$A$5:$D$7,IF(D1185="Mensal",2,IF(D1185="Trimestral",3,4)),0),0)</f>
        <v>9.99</v>
      </c>
      <c r="M1185" s="10">
        <f>IF(G1185="Sim",VLOOKUP("EA Play",Parâmetros!$A$11:$B$13,2,0),0)*K1185</f>
        <v>99.800000000000011</v>
      </c>
      <c r="N1185" s="10">
        <f>IF(H1185="Sim",VLOOKUP("Minecraft Pass",Parâmetros!$A$11:$B$13,2,0),0)*K1185</f>
        <v>79.800000000000011</v>
      </c>
      <c r="O1185" s="10">
        <f>IF(I1185="Sim",VLOOKUP("Call of Duty Pass",Parâmetros!$A$11:$B$13,2,0),0)*K1185</f>
        <v>0</v>
      </c>
      <c r="P1185" s="10">
        <f>(L1185*K1185+M1185+N1185+O1185)*IF(F1185="Promoção",1-Parâmetros!$B$22,1)</f>
        <v>379.40000000000003</v>
      </c>
      <c r="Q1185" s="10">
        <f>Parâmetros!$B$20*K1185</f>
        <v>240</v>
      </c>
      <c r="R1185" s="10">
        <f>P1185-Q1185</f>
        <v>139.40000000000003</v>
      </c>
    </row>
    <row r="1186" spans="1:18">
      <c r="A1186">
        <v>1185</v>
      </c>
      <c r="B1186" s="8">
        <v>45778</v>
      </c>
      <c r="C1186" t="s">
        <v>7</v>
      </c>
      <c r="D1186" t="s">
        <v>40</v>
      </c>
      <c r="E1186" t="s">
        <v>41</v>
      </c>
      <c r="F1186" t="s">
        <v>54</v>
      </c>
      <c r="G1186" t="s">
        <v>43</v>
      </c>
      <c r="H1186" t="s">
        <v>44</v>
      </c>
      <c r="I1186" t="s">
        <v>44</v>
      </c>
      <c r="J1186" t="s">
        <v>49</v>
      </c>
      <c r="K1186" s="9">
        <v>15</v>
      </c>
      <c r="L1186" s="10">
        <f>IFERROR(VLOOKUP(C1186,Parâmetros!$A$5:$D$7,IF(D1186="Mensal",2,IF(D1186="Trimestral",3,4)),0),0)</f>
        <v>40</v>
      </c>
      <c r="M1186" s="10">
        <f>IF(G1186="Sim",VLOOKUP("EA Play",Parâmetros!$A$11:$B$13,2,0),0)*K1186</f>
        <v>74.850000000000009</v>
      </c>
      <c r="N1186" s="10">
        <f>IF(H1186="Sim",VLOOKUP("Minecraft Pass",Parâmetros!$A$11:$B$13,2,0),0)*K1186</f>
        <v>0</v>
      </c>
      <c r="O1186" s="10">
        <f>IF(I1186="Sim",VLOOKUP("Call of Duty Pass",Parâmetros!$A$11:$B$13,2,0),0)*K1186</f>
        <v>0</v>
      </c>
      <c r="P1186" s="10">
        <f>(L1186*K1186+M1186+N1186+O1186)*IF(F1186="Promoção",1-Parâmetros!$B$22,1)</f>
        <v>607.36500000000001</v>
      </c>
      <c r="Q1186" s="10">
        <f>Parâmetros!$B$20*K1186</f>
        <v>180</v>
      </c>
      <c r="R1186" s="10">
        <f>P1186-Q1186</f>
        <v>427.36500000000001</v>
      </c>
    </row>
    <row r="1187" spans="1:18">
      <c r="A1187">
        <v>1186</v>
      </c>
      <c r="B1187" s="8">
        <v>45320</v>
      </c>
      <c r="C1187" t="s">
        <v>8</v>
      </c>
      <c r="D1187" t="s">
        <v>40</v>
      </c>
      <c r="E1187" t="s">
        <v>41</v>
      </c>
      <c r="F1187" t="s">
        <v>42</v>
      </c>
      <c r="G1187" t="s">
        <v>43</v>
      </c>
      <c r="H1187" t="s">
        <v>44</v>
      </c>
      <c r="I1187" t="s">
        <v>44</v>
      </c>
      <c r="J1187" t="s">
        <v>49</v>
      </c>
      <c r="K1187" s="9">
        <v>31</v>
      </c>
      <c r="L1187" s="10">
        <f>IFERROR(VLOOKUP(C1187,Parâmetros!$A$5:$D$7,IF(D1187="Mensal",2,IF(D1187="Trimestral",3,4)),0),0)</f>
        <v>59</v>
      </c>
      <c r="M1187" s="10">
        <f>IF(G1187="Sim",VLOOKUP("EA Play",Parâmetros!$A$11:$B$13,2,0),0)*K1187</f>
        <v>154.69</v>
      </c>
      <c r="N1187" s="10">
        <f>IF(H1187="Sim",VLOOKUP("Minecraft Pass",Parâmetros!$A$11:$B$13,2,0),0)*K1187</f>
        <v>0</v>
      </c>
      <c r="O1187" s="10">
        <f>IF(I1187="Sim",VLOOKUP("Call of Duty Pass",Parâmetros!$A$11:$B$13,2,0),0)*K1187</f>
        <v>0</v>
      </c>
      <c r="P1187" s="10">
        <f>(L1187*K1187+M1187+N1187+O1187)*IF(F1187="Promoção",1-Parâmetros!$B$22,1)</f>
        <v>1983.69</v>
      </c>
      <c r="Q1187" s="10">
        <f>Parâmetros!$B$20*K1187</f>
        <v>372</v>
      </c>
      <c r="R1187" s="10">
        <f>P1187-Q1187</f>
        <v>1611.69</v>
      </c>
    </row>
    <row r="1188" spans="1:18">
      <c r="A1188">
        <v>1187</v>
      </c>
      <c r="B1188" s="8">
        <v>45925</v>
      </c>
      <c r="C1188" t="s">
        <v>8</v>
      </c>
      <c r="D1188" t="s">
        <v>50</v>
      </c>
      <c r="E1188" t="s">
        <v>51</v>
      </c>
      <c r="F1188" t="s">
        <v>48</v>
      </c>
      <c r="G1188" t="s">
        <v>44</v>
      </c>
      <c r="H1188" t="s">
        <v>44</v>
      </c>
      <c r="I1188" t="s">
        <v>44</v>
      </c>
      <c r="J1188" t="s">
        <v>45</v>
      </c>
      <c r="K1188" s="9">
        <v>11</v>
      </c>
      <c r="L1188" s="10">
        <f>IFERROR(VLOOKUP(C1188,Parâmetros!$A$5:$D$7,IF(D1188="Mensal",2,IF(D1188="Trimestral",3,4)),0),0)</f>
        <v>219</v>
      </c>
      <c r="M1188" s="10">
        <f>IF(G1188="Sim",VLOOKUP("EA Play",Parâmetros!$A$11:$B$13,2,0),0)*K1188</f>
        <v>0</v>
      </c>
      <c r="N1188" s="10">
        <f>IF(H1188="Sim",VLOOKUP("Minecraft Pass",Parâmetros!$A$11:$B$13,2,0),0)*K1188</f>
        <v>0</v>
      </c>
      <c r="O1188" s="10">
        <f>IF(I1188="Sim",VLOOKUP("Call of Duty Pass",Parâmetros!$A$11:$B$13,2,0),0)*K1188</f>
        <v>0</v>
      </c>
      <c r="P1188" s="10">
        <f>(L1188*K1188+M1188+N1188+O1188)*IF(F1188="Promoção",1-Parâmetros!$B$22,1)</f>
        <v>2409</v>
      </c>
      <c r="Q1188" s="10">
        <f>Parâmetros!$B$20*K1188</f>
        <v>132</v>
      </c>
      <c r="R1188" s="10">
        <f>P1188-Q1188</f>
        <v>2277</v>
      </c>
    </row>
    <row r="1189" spans="1:18">
      <c r="A1189">
        <v>1188</v>
      </c>
      <c r="B1189" s="8">
        <v>45829</v>
      </c>
      <c r="C1189" t="s">
        <v>7</v>
      </c>
      <c r="D1189" t="s">
        <v>46</v>
      </c>
      <c r="E1189" t="s">
        <v>41</v>
      </c>
      <c r="F1189" t="s">
        <v>52</v>
      </c>
      <c r="G1189" t="s">
        <v>43</v>
      </c>
      <c r="H1189" t="s">
        <v>43</v>
      </c>
      <c r="I1189" t="s">
        <v>43</v>
      </c>
      <c r="J1189" t="s">
        <v>49</v>
      </c>
      <c r="K1189" s="9">
        <v>8</v>
      </c>
      <c r="L1189" s="10">
        <f>IFERROR(VLOOKUP(C1189,Parâmetros!$A$5:$D$7,IF(D1189="Mensal",2,IF(D1189="Trimestral",3,4)),0),0)</f>
        <v>14.99</v>
      </c>
      <c r="M1189" s="10">
        <f>IF(G1189="Sim",VLOOKUP("EA Play",Parâmetros!$A$11:$B$13,2,0),0)*K1189</f>
        <v>39.92</v>
      </c>
      <c r="N1189" s="10">
        <f>IF(H1189="Sim",VLOOKUP("Minecraft Pass",Parâmetros!$A$11:$B$13,2,0),0)*K1189</f>
        <v>31.92</v>
      </c>
      <c r="O1189" s="10">
        <f>IF(I1189="Sim",VLOOKUP("Call of Duty Pass",Parâmetros!$A$11:$B$13,2,0),0)*K1189</f>
        <v>55.92</v>
      </c>
      <c r="P1189" s="10">
        <f>(L1189*K1189+M1189+N1189+O1189)*IF(F1189="Promoção",1-Parâmetros!$B$22,1)</f>
        <v>247.68</v>
      </c>
      <c r="Q1189" s="10">
        <f>Parâmetros!$B$20*K1189</f>
        <v>96</v>
      </c>
      <c r="R1189" s="10">
        <f>P1189-Q1189</f>
        <v>151.68</v>
      </c>
    </row>
    <row r="1190" spans="1:18">
      <c r="A1190">
        <v>1189</v>
      </c>
      <c r="B1190" s="8">
        <v>45957</v>
      </c>
      <c r="C1190" t="s">
        <v>6</v>
      </c>
      <c r="D1190" t="s">
        <v>46</v>
      </c>
      <c r="E1190" t="s">
        <v>47</v>
      </c>
      <c r="F1190" t="s">
        <v>52</v>
      </c>
      <c r="G1190" t="s">
        <v>43</v>
      </c>
      <c r="H1190" t="s">
        <v>44</v>
      </c>
      <c r="I1190" t="s">
        <v>44</v>
      </c>
      <c r="J1190" t="s">
        <v>45</v>
      </c>
      <c r="K1190" s="9">
        <v>15</v>
      </c>
      <c r="L1190" s="10">
        <f>IFERROR(VLOOKUP(C1190,Parâmetros!$A$5:$D$7,IF(D1190="Mensal",2,IF(D1190="Trimestral",3,4)),0),0)</f>
        <v>9.99</v>
      </c>
      <c r="M1190" s="10">
        <f>IF(G1190="Sim",VLOOKUP("EA Play",Parâmetros!$A$11:$B$13,2,0),0)*K1190</f>
        <v>74.850000000000009</v>
      </c>
      <c r="N1190" s="10">
        <f>IF(H1190="Sim",VLOOKUP("Minecraft Pass",Parâmetros!$A$11:$B$13,2,0),0)*K1190</f>
        <v>0</v>
      </c>
      <c r="O1190" s="10">
        <f>IF(I1190="Sim",VLOOKUP("Call of Duty Pass",Parâmetros!$A$11:$B$13,2,0),0)*K1190</f>
        <v>0</v>
      </c>
      <c r="P1190" s="10">
        <f>(L1190*K1190+M1190+N1190+O1190)*IF(F1190="Promoção",1-Parâmetros!$B$22,1)</f>
        <v>224.7</v>
      </c>
      <c r="Q1190" s="10">
        <f>Parâmetros!$B$20*K1190</f>
        <v>180</v>
      </c>
      <c r="R1190" s="10">
        <f>P1190-Q1190</f>
        <v>44.699999999999989</v>
      </c>
    </row>
    <row r="1191" spans="1:18">
      <c r="A1191">
        <v>1190</v>
      </c>
      <c r="B1191" s="8">
        <v>45499</v>
      </c>
      <c r="C1191" t="s">
        <v>6</v>
      </c>
      <c r="D1191" t="s">
        <v>46</v>
      </c>
      <c r="E1191" t="s">
        <v>47</v>
      </c>
      <c r="F1191" t="s">
        <v>54</v>
      </c>
      <c r="G1191" t="s">
        <v>44</v>
      </c>
      <c r="H1191" t="s">
        <v>43</v>
      </c>
      <c r="I1191" t="s">
        <v>44</v>
      </c>
      <c r="J1191" t="s">
        <v>45</v>
      </c>
      <c r="K1191" s="9">
        <v>35</v>
      </c>
      <c r="L1191" s="10">
        <f>IFERROR(VLOOKUP(C1191,Parâmetros!$A$5:$D$7,IF(D1191="Mensal",2,IF(D1191="Trimestral",3,4)),0),0)</f>
        <v>9.99</v>
      </c>
      <c r="M1191" s="10">
        <f>IF(G1191="Sim",VLOOKUP("EA Play",Parâmetros!$A$11:$B$13,2,0),0)*K1191</f>
        <v>0</v>
      </c>
      <c r="N1191" s="10">
        <f>IF(H1191="Sim",VLOOKUP("Minecraft Pass",Parâmetros!$A$11:$B$13,2,0),0)*K1191</f>
        <v>139.65</v>
      </c>
      <c r="O1191" s="10">
        <f>IF(I1191="Sim",VLOOKUP("Call of Duty Pass",Parâmetros!$A$11:$B$13,2,0),0)*K1191</f>
        <v>0</v>
      </c>
      <c r="P1191" s="10">
        <f>(L1191*K1191+M1191+N1191+O1191)*IF(F1191="Promoção",1-Parâmetros!$B$22,1)</f>
        <v>440.37000000000006</v>
      </c>
      <c r="Q1191" s="10">
        <f>Parâmetros!$B$20*K1191</f>
        <v>420</v>
      </c>
      <c r="R1191" s="10">
        <f>P1191-Q1191</f>
        <v>20.370000000000061</v>
      </c>
    </row>
    <row r="1192" spans="1:18">
      <c r="A1192">
        <v>1191</v>
      </c>
      <c r="B1192" s="8">
        <v>45373</v>
      </c>
      <c r="C1192" t="s">
        <v>8</v>
      </c>
      <c r="D1192" t="s">
        <v>46</v>
      </c>
      <c r="E1192" t="s">
        <v>47</v>
      </c>
      <c r="F1192" t="s">
        <v>42</v>
      </c>
      <c r="G1192" t="s">
        <v>43</v>
      </c>
      <c r="H1192" t="s">
        <v>44</v>
      </c>
      <c r="I1192" t="s">
        <v>44</v>
      </c>
      <c r="J1192" t="s">
        <v>45</v>
      </c>
      <c r="K1192" s="9">
        <v>16</v>
      </c>
      <c r="L1192" s="10">
        <f>IFERROR(VLOOKUP(C1192,Parâmetros!$A$5:$D$7,IF(D1192="Mensal",2,IF(D1192="Trimestral",3,4)),0),0)</f>
        <v>21.99</v>
      </c>
      <c r="M1192" s="10">
        <f>IF(G1192="Sim",VLOOKUP("EA Play",Parâmetros!$A$11:$B$13,2,0),0)*K1192</f>
        <v>79.84</v>
      </c>
      <c r="N1192" s="10">
        <f>IF(H1192="Sim",VLOOKUP("Minecraft Pass",Parâmetros!$A$11:$B$13,2,0),0)*K1192</f>
        <v>0</v>
      </c>
      <c r="O1192" s="10">
        <f>IF(I1192="Sim",VLOOKUP("Call of Duty Pass",Parâmetros!$A$11:$B$13,2,0),0)*K1192</f>
        <v>0</v>
      </c>
      <c r="P1192" s="10">
        <f>(L1192*K1192+M1192+N1192+O1192)*IF(F1192="Promoção",1-Parâmetros!$B$22,1)</f>
        <v>431.67999999999995</v>
      </c>
      <c r="Q1192" s="10">
        <f>Parâmetros!$B$20*K1192</f>
        <v>192</v>
      </c>
      <c r="R1192" s="10">
        <f>P1192-Q1192</f>
        <v>239.67999999999995</v>
      </c>
    </row>
    <row r="1193" spans="1:18">
      <c r="A1193">
        <v>1192</v>
      </c>
      <c r="B1193" s="8">
        <v>45525</v>
      </c>
      <c r="C1193" t="s">
        <v>7</v>
      </c>
      <c r="D1193" t="s">
        <v>46</v>
      </c>
      <c r="E1193" t="s">
        <v>41</v>
      </c>
      <c r="F1193" t="s">
        <v>52</v>
      </c>
      <c r="G1193" t="s">
        <v>44</v>
      </c>
      <c r="H1193" t="s">
        <v>43</v>
      </c>
      <c r="I1193" t="s">
        <v>43</v>
      </c>
      <c r="J1193" t="s">
        <v>45</v>
      </c>
      <c r="K1193" s="9">
        <v>5</v>
      </c>
      <c r="L1193" s="10">
        <f>IFERROR(VLOOKUP(C1193,Parâmetros!$A$5:$D$7,IF(D1193="Mensal",2,IF(D1193="Trimestral",3,4)),0),0)</f>
        <v>14.99</v>
      </c>
      <c r="M1193" s="10">
        <f>IF(G1193="Sim",VLOOKUP("EA Play",Parâmetros!$A$11:$B$13,2,0),0)*K1193</f>
        <v>0</v>
      </c>
      <c r="N1193" s="10">
        <f>IF(H1193="Sim",VLOOKUP("Minecraft Pass",Parâmetros!$A$11:$B$13,2,0),0)*K1193</f>
        <v>19.950000000000003</v>
      </c>
      <c r="O1193" s="10">
        <f>IF(I1193="Sim",VLOOKUP("Call of Duty Pass",Parâmetros!$A$11:$B$13,2,0),0)*K1193</f>
        <v>34.950000000000003</v>
      </c>
      <c r="P1193" s="10">
        <f>(L1193*K1193+M1193+N1193+O1193)*IF(F1193="Promoção",1-Parâmetros!$B$22,1)</f>
        <v>129.85000000000002</v>
      </c>
      <c r="Q1193" s="10">
        <f>Parâmetros!$B$20*K1193</f>
        <v>60</v>
      </c>
      <c r="R1193" s="10">
        <f>P1193-Q1193</f>
        <v>69.850000000000023</v>
      </c>
    </row>
    <row r="1194" spans="1:18">
      <c r="A1194">
        <v>1193</v>
      </c>
      <c r="B1194" s="8">
        <v>45427</v>
      </c>
      <c r="C1194" t="s">
        <v>7</v>
      </c>
      <c r="D1194" t="s">
        <v>46</v>
      </c>
      <c r="E1194" t="s">
        <v>41</v>
      </c>
      <c r="F1194" t="s">
        <v>48</v>
      </c>
      <c r="G1194" t="s">
        <v>44</v>
      </c>
      <c r="H1194" t="s">
        <v>44</v>
      </c>
      <c r="I1194" t="s">
        <v>44</v>
      </c>
      <c r="J1194" t="s">
        <v>45</v>
      </c>
      <c r="K1194" s="9">
        <v>21</v>
      </c>
      <c r="L1194" s="10">
        <f>IFERROR(VLOOKUP(C1194,Parâmetros!$A$5:$D$7,IF(D1194="Mensal",2,IF(D1194="Trimestral",3,4)),0),0)</f>
        <v>14.99</v>
      </c>
      <c r="M1194" s="10">
        <f>IF(G1194="Sim",VLOOKUP("EA Play",Parâmetros!$A$11:$B$13,2,0),0)*K1194</f>
        <v>0</v>
      </c>
      <c r="N1194" s="10">
        <f>IF(H1194="Sim",VLOOKUP("Minecraft Pass",Parâmetros!$A$11:$B$13,2,0),0)*K1194</f>
        <v>0</v>
      </c>
      <c r="O1194" s="10">
        <f>IF(I1194="Sim",VLOOKUP("Call of Duty Pass",Parâmetros!$A$11:$B$13,2,0),0)*K1194</f>
        <v>0</v>
      </c>
      <c r="P1194" s="10">
        <f>(L1194*K1194+M1194+N1194+O1194)*IF(F1194="Promoção",1-Parâmetros!$B$22,1)</f>
        <v>314.79000000000002</v>
      </c>
      <c r="Q1194" s="10">
        <f>Parâmetros!$B$20*K1194</f>
        <v>252</v>
      </c>
      <c r="R1194" s="10">
        <f>P1194-Q1194</f>
        <v>62.79000000000002</v>
      </c>
    </row>
    <row r="1195" spans="1:18">
      <c r="A1195">
        <v>1194</v>
      </c>
      <c r="B1195" s="8">
        <v>45941</v>
      </c>
      <c r="C1195" t="s">
        <v>6</v>
      </c>
      <c r="D1195" t="s">
        <v>46</v>
      </c>
      <c r="E1195" t="s">
        <v>47</v>
      </c>
      <c r="F1195" t="s">
        <v>48</v>
      </c>
      <c r="G1195" t="s">
        <v>43</v>
      </c>
      <c r="H1195" t="s">
        <v>44</v>
      </c>
      <c r="I1195" t="s">
        <v>44</v>
      </c>
      <c r="J1195" t="s">
        <v>49</v>
      </c>
      <c r="K1195" s="9">
        <v>1</v>
      </c>
      <c r="L1195" s="10">
        <f>IFERROR(VLOOKUP(C1195,Parâmetros!$A$5:$D$7,IF(D1195="Mensal",2,IF(D1195="Trimestral",3,4)),0),0)</f>
        <v>9.99</v>
      </c>
      <c r="M1195" s="10">
        <f>IF(G1195="Sim",VLOOKUP("EA Play",Parâmetros!$A$11:$B$13,2,0),0)*K1195</f>
        <v>4.99</v>
      </c>
      <c r="N1195" s="10">
        <f>IF(H1195="Sim",VLOOKUP("Minecraft Pass",Parâmetros!$A$11:$B$13,2,0),0)*K1195</f>
        <v>0</v>
      </c>
      <c r="O1195" s="10">
        <f>IF(I1195="Sim",VLOOKUP("Call of Duty Pass",Parâmetros!$A$11:$B$13,2,0),0)*K1195</f>
        <v>0</v>
      </c>
      <c r="P1195" s="10">
        <f>(L1195*K1195+M1195+N1195+O1195)*IF(F1195="Promoção",1-Parâmetros!$B$22,1)</f>
        <v>14.98</v>
      </c>
      <c r="Q1195" s="10">
        <f>Parâmetros!$B$20*K1195</f>
        <v>12</v>
      </c>
      <c r="R1195" s="10">
        <f>P1195-Q1195</f>
        <v>2.9800000000000004</v>
      </c>
    </row>
    <row r="1196" spans="1:18">
      <c r="A1196">
        <v>1195</v>
      </c>
      <c r="B1196" s="8">
        <v>45887</v>
      </c>
      <c r="C1196" t="s">
        <v>7</v>
      </c>
      <c r="D1196" t="s">
        <v>50</v>
      </c>
      <c r="E1196" t="s">
        <v>51</v>
      </c>
      <c r="F1196" t="s">
        <v>48</v>
      </c>
      <c r="G1196" t="s">
        <v>44</v>
      </c>
      <c r="H1196" t="s">
        <v>44</v>
      </c>
      <c r="I1196" t="s">
        <v>44</v>
      </c>
      <c r="J1196" t="s">
        <v>45</v>
      </c>
      <c r="K1196" s="9">
        <v>1</v>
      </c>
      <c r="L1196" s="10">
        <f>IFERROR(VLOOKUP(C1196,Parâmetros!$A$5:$D$7,IF(D1196="Mensal",2,IF(D1196="Trimestral",3,4)),0),0)</f>
        <v>149</v>
      </c>
      <c r="M1196" s="10">
        <f>IF(G1196="Sim",VLOOKUP("EA Play",Parâmetros!$A$11:$B$13,2,0),0)*K1196</f>
        <v>0</v>
      </c>
      <c r="N1196" s="10">
        <f>IF(H1196="Sim",VLOOKUP("Minecraft Pass",Parâmetros!$A$11:$B$13,2,0),0)*K1196</f>
        <v>0</v>
      </c>
      <c r="O1196" s="10">
        <f>IF(I1196="Sim",VLOOKUP("Call of Duty Pass",Parâmetros!$A$11:$B$13,2,0),0)*K1196</f>
        <v>0</v>
      </c>
      <c r="P1196" s="10">
        <f>(L1196*K1196+M1196+N1196+O1196)*IF(F1196="Promoção",1-Parâmetros!$B$22,1)</f>
        <v>149</v>
      </c>
      <c r="Q1196" s="10">
        <f>Parâmetros!$B$20*K1196</f>
        <v>12</v>
      </c>
      <c r="R1196" s="10">
        <f>P1196-Q1196</f>
        <v>137</v>
      </c>
    </row>
    <row r="1197" spans="1:18">
      <c r="A1197">
        <v>1196</v>
      </c>
      <c r="B1197" s="8">
        <v>45549</v>
      </c>
      <c r="C1197" t="s">
        <v>8</v>
      </c>
      <c r="D1197" t="s">
        <v>40</v>
      </c>
      <c r="E1197" t="s">
        <v>47</v>
      </c>
      <c r="F1197" t="s">
        <v>42</v>
      </c>
      <c r="G1197" t="s">
        <v>44</v>
      </c>
      <c r="H1197" t="s">
        <v>44</v>
      </c>
      <c r="I1197" t="s">
        <v>44</v>
      </c>
      <c r="J1197" t="s">
        <v>49</v>
      </c>
      <c r="K1197" s="9">
        <v>35</v>
      </c>
      <c r="L1197" s="10">
        <f>IFERROR(VLOOKUP(C1197,Parâmetros!$A$5:$D$7,IF(D1197="Mensal",2,IF(D1197="Trimestral",3,4)),0),0)</f>
        <v>59</v>
      </c>
      <c r="M1197" s="10">
        <f>IF(G1197="Sim",VLOOKUP("EA Play",Parâmetros!$A$11:$B$13,2,0),0)*K1197</f>
        <v>0</v>
      </c>
      <c r="N1197" s="10">
        <f>IF(H1197="Sim",VLOOKUP("Minecraft Pass",Parâmetros!$A$11:$B$13,2,0),0)*K1197</f>
        <v>0</v>
      </c>
      <c r="O1197" s="10">
        <f>IF(I1197="Sim",VLOOKUP("Call of Duty Pass",Parâmetros!$A$11:$B$13,2,0),0)*K1197</f>
        <v>0</v>
      </c>
      <c r="P1197" s="10">
        <f>(L1197*K1197+M1197+N1197+O1197)*IF(F1197="Promoção",1-Parâmetros!$B$22,1)</f>
        <v>2065</v>
      </c>
      <c r="Q1197" s="10">
        <f>Parâmetros!$B$20*K1197</f>
        <v>420</v>
      </c>
      <c r="R1197" s="10">
        <f>P1197-Q1197</f>
        <v>1645</v>
      </c>
    </row>
    <row r="1198" spans="1:18">
      <c r="A1198">
        <v>1197</v>
      </c>
      <c r="B1198" s="8">
        <v>45546</v>
      </c>
      <c r="C1198" t="s">
        <v>6</v>
      </c>
      <c r="D1198" t="s">
        <v>40</v>
      </c>
      <c r="E1198" t="s">
        <v>47</v>
      </c>
      <c r="F1198" t="s">
        <v>52</v>
      </c>
      <c r="G1198" t="s">
        <v>43</v>
      </c>
      <c r="H1198" t="s">
        <v>44</v>
      </c>
      <c r="I1198" t="s">
        <v>43</v>
      </c>
      <c r="J1198" t="s">
        <v>49</v>
      </c>
      <c r="K1198" s="9">
        <v>33</v>
      </c>
      <c r="L1198" s="10">
        <f>IFERROR(VLOOKUP(C1198,Parâmetros!$A$5:$D$7,IF(D1198="Mensal",2,IF(D1198="Trimestral",3,4)),0),0)</f>
        <v>27</v>
      </c>
      <c r="M1198" s="10">
        <f>IF(G1198="Sim",VLOOKUP("EA Play",Parâmetros!$A$11:$B$13,2,0),0)*K1198</f>
        <v>164.67000000000002</v>
      </c>
      <c r="N1198" s="10">
        <f>IF(H1198="Sim",VLOOKUP("Minecraft Pass",Parâmetros!$A$11:$B$13,2,0),0)*K1198</f>
        <v>0</v>
      </c>
      <c r="O1198" s="10">
        <f>IF(I1198="Sim",VLOOKUP("Call of Duty Pass",Parâmetros!$A$11:$B$13,2,0),0)*K1198</f>
        <v>230.67000000000002</v>
      </c>
      <c r="P1198" s="10">
        <f>(L1198*K1198+M1198+N1198+O1198)*IF(F1198="Promoção",1-Parâmetros!$B$22,1)</f>
        <v>1286.3400000000001</v>
      </c>
      <c r="Q1198" s="10">
        <f>Parâmetros!$B$20*K1198</f>
        <v>396</v>
      </c>
      <c r="R1198" s="10">
        <f>P1198-Q1198</f>
        <v>890.34000000000015</v>
      </c>
    </row>
    <row r="1199" spans="1:18">
      <c r="A1199">
        <v>1198</v>
      </c>
      <c r="B1199" s="8">
        <v>45773</v>
      </c>
      <c r="C1199" t="s">
        <v>7</v>
      </c>
      <c r="D1199" t="s">
        <v>46</v>
      </c>
      <c r="E1199" t="s">
        <v>51</v>
      </c>
      <c r="F1199" t="s">
        <v>52</v>
      </c>
      <c r="G1199" t="s">
        <v>43</v>
      </c>
      <c r="H1199" t="s">
        <v>44</v>
      </c>
      <c r="I1199" t="s">
        <v>44</v>
      </c>
      <c r="J1199" t="s">
        <v>45</v>
      </c>
      <c r="K1199" s="9">
        <v>12</v>
      </c>
      <c r="L1199" s="10">
        <f>IFERROR(VLOOKUP(C1199,Parâmetros!$A$5:$D$7,IF(D1199="Mensal",2,IF(D1199="Trimestral",3,4)),0),0)</f>
        <v>14.99</v>
      </c>
      <c r="M1199" s="10">
        <f>IF(G1199="Sim",VLOOKUP("EA Play",Parâmetros!$A$11:$B$13,2,0),0)*K1199</f>
        <v>59.88</v>
      </c>
      <c r="N1199" s="10">
        <f>IF(H1199="Sim",VLOOKUP("Minecraft Pass",Parâmetros!$A$11:$B$13,2,0),0)*K1199</f>
        <v>0</v>
      </c>
      <c r="O1199" s="10">
        <f>IF(I1199="Sim",VLOOKUP("Call of Duty Pass",Parâmetros!$A$11:$B$13,2,0),0)*K1199</f>
        <v>0</v>
      </c>
      <c r="P1199" s="10">
        <f>(L1199*K1199+M1199+N1199+O1199)*IF(F1199="Promoção",1-Parâmetros!$B$22,1)</f>
        <v>239.76</v>
      </c>
      <c r="Q1199" s="10">
        <f>Parâmetros!$B$20*K1199</f>
        <v>144</v>
      </c>
      <c r="R1199" s="10">
        <f>P1199-Q1199</f>
        <v>95.759999999999991</v>
      </c>
    </row>
    <row r="1200" spans="1:18">
      <c r="A1200">
        <v>1199</v>
      </c>
      <c r="B1200" s="8">
        <v>45490</v>
      </c>
      <c r="C1200" t="s">
        <v>8</v>
      </c>
      <c r="D1200" t="s">
        <v>40</v>
      </c>
      <c r="E1200" t="s">
        <v>41</v>
      </c>
      <c r="F1200" t="s">
        <v>48</v>
      </c>
      <c r="G1200" t="s">
        <v>43</v>
      </c>
      <c r="H1200" t="s">
        <v>44</v>
      </c>
      <c r="I1200" t="s">
        <v>43</v>
      </c>
      <c r="J1200" t="s">
        <v>49</v>
      </c>
      <c r="K1200" s="9">
        <v>14</v>
      </c>
      <c r="L1200" s="10">
        <f>IFERROR(VLOOKUP(C1200,Parâmetros!$A$5:$D$7,IF(D1200="Mensal",2,IF(D1200="Trimestral",3,4)),0),0)</f>
        <v>59</v>
      </c>
      <c r="M1200" s="10">
        <f>IF(G1200="Sim",VLOOKUP("EA Play",Parâmetros!$A$11:$B$13,2,0),0)*K1200</f>
        <v>69.86</v>
      </c>
      <c r="N1200" s="10">
        <f>IF(H1200="Sim",VLOOKUP("Minecraft Pass",Parâmetros!$A$11:$B$13,2,0),0)*K1200</f>
        <v>0</v>
      </c>
      <c r="O1200" s="10">
        <f>IF(I1200="Sim",VLOOKUP("Call of Duty Pass",Parâmetros!$A$11:$B$13,2,0),0)*K1200</f>
        <v>97.86</v>
      </c>
      <c r="P1200" s="10">
        <f>(L1200*K1200+M1200+N1200+O1200)*IF(F1200="Promoção",1-Parâmetros!$B$22,1)</f>
        <v>993.72</v>
      </c>
      <c r="Q1200" s="10">
        <f>Parâmetros!$B$20*K1200</f>
        <v>168</v>
      </c>
      <c r="R1200" s="10">
        <f>P1200-Q1200</f>
        <v>825.72</v>
      </c>
    </row>
    <row r="1201" spans="1:18">
      <c r="A1201">
        <v>1200</v>
      </c>
      <c r="B1201" s="8">
        <v>45876</v>
      </c>
      <c r="C1201" t="s">
        <v>7</v>
      </c>
      <c r="D1201" t="s">
        <v>46</v>
      </c>
      <c r="E1201" t="s">
        <v>41</v>
      </c>
      <c r="F1201" t="s">
        <v>42</v>
      </c>
      <c r="G1201" t="s">
        <v>43</v>
      </c>
      <c r="H1201" t="s">
        <v>43</v>
      </c>
      <c r="I1201" t="s">
        <v>44</v>
      </c>
      <c r="J1201" t="s">
        <v>49</v>
      </c>
      <c r="K1201" s="9">
        <v>34</v>
      </c>
      <c r="L1201" s="10">
        <f>IFERROR(VLOOKUP(C1201,Parâmetros!$A$5:$D$7,IF(D1201="Mensal",2,IF(D1201="Trimestral",3,4)),0),0)</f>
        <v>14.99</v>
      </c>
      <c r="M1201" s="10">
        <f>IF(G1201="Sim",VLOOKUP("EA Play",Parâmetros!$A$11:$B$13,2,0),0)*K1201</f>
        <v>169.66</v>
      </c>
      <c r="N1201" s="10">
        <f>IF(H1201="Sim",VLOOKUP("Minecraft Pass",Parâmetros!$A$11:$B$13,2,0),0)*K1201</f>
        <v>135.66</v>
      </c>
      <c r="O1201" s="10">
        <f>IF(I1201="Sim",VLOOKUP("Call of Duty Pass",Parâmetros!$A$11:$B$13,2,0),0)*K1201</f>
        <v>0</v>
      </c>
      <c r="P1201" s="10">
        <f>(L1201*K1201+M1201+N1201+O1201)*IF(F1201="Promoção",1-Parâmetros!$B$22,1)</f>
        <v>814.98</v>
      </c>
      <c r="Q1201" s="10">
        <f>Parâmetros!$B$20*K1201</f>
        <v>408</v>
      </c>
      <c r="R1201" s="10">
        <f>P1201-Q1201</f>
        <v>406.98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7A00"/>
  </sheetPr>
  <dimension ref="A2:D61"/>
  <sheetViews>
    <sheetView topLeftCell="A27" workbookViewId="0"/>
  </sheetViews>
  <sheetFormatPr defaultRowHeight="15"/>
  <cols>
    <col min="1" max="1" width="20" customWidth="1"/>
    <col min="2" max="3" width="16" customWidth="1"/>
    <col min="4" max="4" width="14" customWidth="1"/>
  </cols>
  <sheetData>
    <row r="2" spans="1:3">
      <c r="A2" s="28" t="s">
        <v>56</v>
      </c>
      <c r="B2" s="25"/>
      <c r="C2" s="25"/>
    </row>
    <row r="3" spans="1:3">
      <c r="A3" s="29" t="s">
        <v>2</v>
      </c>
      <c r="B3" s="29" t="s">
        <v>37</v>
      </c>
      <c r="C3" s="29" t="s">
        <v>57</v>
      </c>
    </row>
    <row r="4" spans="1:3">
      <c r="A4" s="4" t="s">
        <v>6</v>
      </c>
      <c r="B4" s="11">
        <f>SUMIFS('Base de Dados'!$P$2:$P$1201,'Base de Dados'!$C$2:$C$1201,A4)</f>
        <v>338073.29999999981</v>
      </c>
      <c r="C4" s="12">
        <f>IF($B$7=0,0,B4/$B$7)</f>
        <v>0.29254540272532664</v>
      </c>
    </row>
    <row r="5" spans="1:3">
      <c r="A5" s="4" t="s">
        <v>7</v>
      </c>
      <c r="B5" s="11">
        <f>SUMIFS('Base de Dados'!$P$2:$P$1201,'Base de Dados'!$C$2:$C$1201,A5)</f>
        <v>437443.69099999976</v>
      </c>
      <c r="C5" s="12">
        <f>IF($B$7=0,0,B5/$B$7)</f>
        <v>0.37853371074630365</v>
      </c>
    </row>
    <row r="6" spans="1:3">
      <c r="A6" s="4" t="s">
        <v>8</v>
      </c>
      <c r="B6" s="11">
        <f>SUMIFS('Base de Dados'!$P$2:$P$1201,'Base de Dados'!$C$2:$C$1201,A6)</f>
        <v>380109.78299999976</v>
      </c>
      <c r="C6" s="12">
        <f>IF($B$7=0,0,B6/$B$7)</f>
        <v>0.32892088652836976</v>
      </c>
    </row>
    <row r="7" spans="1:3">
      <c r="A7" s="13" t="s">
        <v>58</v>
      </c>
      <c r="B7" s="14">
        <f>SUM(B4:B6)</f>
        <v>1155626.7739999993</v>
      </c>
    </row>
    <row r="9" spans="1:3">
      <c r="A9" s="28" t="s">
        <v>59</v>
      </c>
      <c r="B9" s="25"/>
      <c r="C9" s="25"/>
    </row>
    <row r="10" spans="1:3">
      <c r="A10" s="29" t="s">
        <v>27</v>
      </c>
      <c r="B10" s="29" t="s">
        <v>37</v>
      </c>
      <c r="C10" s="29" t="s">
        <v>57</v>
      </c>
    </row>
    <row r="11" spans="1:3">
      <c r="A11" s="4" t="s">
        <v>41</v>
      </c>
      <c r="B11" s="11">
        <f>SUMIFS('Base de Dados'!$P$2:$P$1201,'Base de Dados'!$E$2:$E$1201,A11)</f>
        <v>472762.67999999982</v>
      </c>
      <c r="C11" s="12">
        <f>IF($B$16=0,0,B11/$B$16)</f>
        <v>0.4090963368420536</v>
      </c>
    </row>
    <row r="12" spans="1:3">
      <c r="A12" s="4" t="s">
        <v>47</v>
      </c>
      <c r="B12" s="11">
        <f>SUMIFS('Base de Dados'!$P$2:$P$1201,'Base de Dados'!$E$2:$E$1201,A12)</f>
        <v>234011.95500000013</v>
      </c>
      <c r="C12" s="12">
        <f>IF($B$16=0,0,B12/$B$16)</f>
        <v>0.2024978654570356</v>
      </c>
    </row>
    <row r="13" spans="1:3">
      <c r="A13" s="4" t="s">
        <v>51</v>
      </c>
      <c r="B13" s="11">
        <f>SUMIFS('Base de Dados'!$P$2:$P$1201,'Base de Dados'!$E$2:$E$1201,A13)</f>
        <v>253889.18700000001</v>
      </c>
      <c r="C13" s="12">
        <f>IF($B$16=0,0,B13/$B$16)</f>
        <v>0.2196982561430339</v>
      </c>
    </row>
    <row r="14" spans="1:3">
      <c r="A14" s="4" t="s">
        <v>55</v>
      </c>
      <c r="B14" s="11">
        <f>SUMIFS('Base de Dados'!$P$2:$P$1201,'Base de Dados'!$E$2:$E$1201,A14)</f>
        <v>109712.77100000004</v>
      </c>
      <c r="C14" s="12">
        <f>IF($B$16=0,0,B14/$B$16)</f>
        <v>9.4937892984469752E-2</v>
      </c>
    </row>
    <row r="15" spans="1:3">
      <c r="A15" s="4" t="s">
        <v>53</v>
      </c>
      <c r="B15" s="11">
        <f>SUMIFS('Base de Dados'!$P$2:$P$1201,'Base de Dados'!$E$2:$E$1201,A15)</f>
        <v>85250.181000000026</v>
      </c>
      <c r="C15" s="12">
        <f>IF($B$16=0,0,B15/$B$16)</f>
        <v>7.3769648573406982E-2</v>
      </c>
    </row>
    <row r="16" spans="1:3">
      <c r="A16" s="13" t="s">
        <v>58</v>
      </c>
      <c r="B16" s="14">
        <f>SUM(B11:B15)</f>
        <v>1155626.7740000002</v>
      </c>
    </row>
    <row r="18" spans="1:3">
      <c r="A18" s="28" t="s">
        <v>60</v>
      </c>
      <c r="B18" s="25"/>
      <c r="C18" s="25"/>
    </row>
    <row r="19" spans="1:3">
      <c r="A19" s="29" t="s">
        <v>26</v>
      </c>
      <c r="B19" s="29" t="s">
        <v>37</v>
      </c>
      <c r="C19" s="29" t="s">
        <v>57</v>
      </c>
    </row>
    <row r="20" spans="1:3">
      <c r="A20" s="4" t="s">
        <v>46</v>
      </c>
      <c r="B20" s="11">
        <f>SUMIFS('Base de Dados'!$P$2:$P$1201,'Base de Dados'!$D$2:$D$1201,A20)</f>
        <v>214498.12700000015</v>
      </c>
      <c r="C20" s="12">
        <f>IF($B$23=0,0,B20/$B$23)</f>
        <v>0.18561193962091449</v>
      </c>
    </row>
    <row r="21" spans="1:3">
      <c r="A21" s="4" t="s">
        <v>40</v>
      </c>
      <c r="B21" s="11">
        <f>SUMIFS('Base de Dados'!$P$2:$P$1201,'Base de Dados'!$D$2:$D$1201,A21)</f>
        <v>296481.69699999969</v>
      </c>
      <c r="C21" s="12">
        <f>IF($B$23=0,0,B21/$B$23)</f>
        <v>0.25655488750384364</v>
      </c>
    </row>
    <row r="22" spans="1:3">
      <c r="A22" s="4" t="s">
        <v>50</v>
      </c>
      <c r="B22" s="11">
        <f>SUMIFS('Base de Dados'!$P$2:$P$1201,'Base de Dados'!$D$2:$D$1201,A22)</f>
        <v>644646.94999999995</v>
      </c>
      <c r="C22" s="12">
        <f>IF($B$23=0,0,B22/$B$23)</f>
        <v>0.55783317287524192</v>
      </c>
    </row>
    <row r="23" spans="1:3">
      <c r="A23" s="13" t="s">
        <v>58</v>
      </c>
      <c r="B23" s="14">
        <f>SUM(B20:B22)</f>
        <v>1155626.7739999997</v>
      </c>
    </row>
    <row r="25" spans="1:3">
      <c r="A25" s="28" t="s">
        <v>61</v>
      </c>
      <c r="B25" s="25"/>
      <c r="C25" s="25"/>
    </row>
    <row r="26" spans="1:3">
      <c r="A26" s="29" t="s">
        <v>10</v>
      </c>
      <c r="B26" s="29" t="s">
        <v>37</v>
      </c>
    </row>
    <row r="27" spans="1:3">
      <c r="A27" s="4" t="s">
        <v>12</v>
      </c>
      <c r="B27" s="11">
        <f>SUM('Base de Dados'!$M$2:$M$1201)</f>
        <v>49680.440000000075</v>
      </c>
    </row>
    <row r="28" spans="1:3">
      <c r="A28" s="4" t="s">
        <v>13</v>
      </c>
      <c r="B28" s="11">
        <f>SUM('Base de Dados'!$N$2:$N$1201)</f>
        <v>34697.039999999994</v>
      </c>
    </row>
    <row r="29" spans="1:3">
      <c r="A29" s="4" t="s">
        <v>14</v>
      </c>
      <c r="B29" s="11">
        <f>SUM('Base de Dados'!$O$2:$O$1201)</f>
        <v>41115.18</v>
      </c>
    </row>
    <row r="31" spans="1:3">
      <c r="A31" s="28" t="s">
        <v>62</v>
      </c>
      <c r="B31" s="25"/>
      <c r="C31" s="25"/>
    </row>
    <row r="32" spans="1:3">
      <c r="A32" s="29" t="s">
        <v>31</v>
      </c>
      <c r="B32" s="29" t="s">
        <v>37</v>
      </c>
    </row>
    <row r="33" spans="1:4">
      <c r="A33" s="4" t="s">
        <v>49</v>
      </c>
      <c r="B33" s="11">
        <f>SUMIFS('Base de Dados'!$P$2:$P$1201,'Base de Dados'!$J$2:$J$1201,"Novo")</f>
        <v>613005.38799999969</v>
      </c>
    </row>
    <row r="34" spans="1:4">
      <c r="A34" s="4" t="s">
        <v>45</v>
      </c>
      <c r="B34" s="11">
        <f>SUMIFS('Base de Dados'!$P$2:$P$1201,'Base de Dados'!$J$2:$J$1201,"Renovação")</f>
        <v>542621.38599999947</v>
      </c>
    </row>
    <row r="36" spans="1:4">
      <c r="A36" s="28" t="s">
        <v>63</v>
      </c>
      <c r="B36" s="25"/>
      <c r="C36" s="25"/>
      <c r="D36" s="25"/>
    </row>
    <row r="37" spans="1:4">
      <c r="A37" s="29" t="s">
        <v>64</v>
      </c>
      <c r="B37" s="29" t="s">
        <v>65</v>
      </c>
      <c r="C37" s="29" t="s">
        <v>37</v>
      </c>
      <c r="D37" s="29" t="s">
        <v>66</v>
      </c>
    </row>
    <row r="38" spans="1:4">
      <c r="A38" s="15">
        <v>45292</v>
      </c>
      <c r="B38" s="4" t="str">
        <f>TEXT(A38,"mmm/yyyy")</f>
        <v>jan/yyyy</v>
      </c>
      <c r="C38" s="11">
        <f>SUMIFS('Base de Dados'!$P$2:$P$1201,'Base de Dados'!$B$2:$B$1201,"&gt;="&amp;A38,'Base de Dados'!$B$2:$B$1201,"&lt;"&amp;D38)</f>
        <v>57551.519000000022</v>
      </c>
      <c r="D38" s="15">
        <v>45323</v>
      </c>
    </row>
    <row r="39" spans="1:4">
      <c r="A39" s="15">
        <v>45323</v>
      </c>
      <c r="B39" s="4" t="str">
        <f>TEXT(A39,"mmm/yyyy")</f>
        <v>fev/yyyy</v>
      </c>
      <c r="C39" s="11">
        <f>SUMIFS('Base de Dados'!$P$2:$P$1201,'Base de Dados'!$B$2:$B$1201,"&gt;="&amp;A39,'Base de Dados'!$B$2:$B$1201,"&lt;"&amp;D39)</f>
        <v>28878.031000000006</v>
      </c>
      <c r="D39" s="15">
        <v>45352</v>
      </c>
    </row>
    <row r="40" spans="1:4">
      <c r="A40" s="15">
        <v>45352</v>
      </c>
      <c r="B40" s="4" t="str">
        <f>TEXT(A40,"mmm/yyyy")</f>
        <v>mar/yyyy</v>
      </c>
      <c r="C40" s="11">
        <f>SUMIFS('Base de Dados'!$P$2:$P$1201,'Base de Dados'!$B$2:$B$1201,"&gt;="&amp;A40,'Base de Dados'!$B$2:$B$1201,"&lt;"&amp;D40)</f>
        <v>37705.861000000004</v>
      </c>
      <c r="D40" s="15">
        <v>45383</v>
      </c>
    </row>
    <row r="41" spans="1:4">
      <c r="A41" s="15">
        <v>45383</v>
      </c>
      <c r="B41" s="4" t="str">
        <f>TEXT(A41,"mmm/yyyy")</f>
        <v>abr/yyyy</v>
      </c>
      <c r="C41" s="11">
        <f>SUMIFS('Base de Dados'!$P$2:$P$1201,'Base de Dados'!$B$2:$B$1201,"&gt;="&amp;A41,'Base de Dados'!$B$2:$B$1201,"&lt;"&amp;D41)</f>
        <v>52865.994999999995</v>
      </c>
      <c r="D41" s="15">
        <v>45413</v>
      </c>
    </row>
    <row r="42" spans="1:4">
      <c r="A42" s="15">
        <v>45413</v>
      </c>
      <c r="B42" s="4" t="str">
        <f>TEXT(A42,"mmm/yyyy")</f>
        <v>mai/yyyy</v>
      </c>
      <c r="C42" s="11">
        <f>SUMIFS('Base de Dados'!$P$2:$P$1201,'Base de Dados'!$B$2:$B$1201,"&gt;="&amp;A42,'Base de Dados'!$B$2:$B$1201,"&lt;"&amp;D42)</f>
        <v>53363.608999999997</v>
      </c>
      <c r="D42" s="15">
        <v>45444</v>
      </c>
    </row>
    <row r="43" spans="1:4">
      <c r="A43" s="15">
        <v>45444</v>
      </c>
      <c r="B43" s="4" t="str">
        <f>TEXT(A43,"mmm/yyyy")</f>
        <v>jun/yyyy</v>
      </c>
      <c r="C43" s="11">
        <f>SUMIFS('Base de Dados'!$P$2:$P$1201,'Base de Dados'!$B$2:$B$1201,"&gt;="&amp;A43,'Base de Dados'!$B$2:$B$1201,"&lt;"&amp;D43)</f>
        <v>36048.072999999989</v>
      </c>
      <c r="D43" s="15">
        <v>45474</v>
      </c>
    </row>
    <row r="44" spans="1:4">
      <c r="A44" s="15">
        <v>45474</v>
      </c>
      <c r="B44" s="4" t="str">
        <f>TEXT(A44,"mmm/yyyy")</f>
        <v>jul/yyyy</v>
      </c>
      <c r="C44" s="11">
        <f>SUMIFS('Base de Dados'!$P$2:$P$1201,'Base de Dados'!$B$2:$B$1201,"&gt;="&amp;A44,'Base de Dados'!$B$2:$B$1201,"&lt;"&amp;D44)</f>
        <v>49747.692999999999</v>
      </c>
      <c r="D44" s="15">
        <v>45505</v>
      </c>
    </row>
    <row r="45" spans="1:4">
      <c r="A45" s="15">
        <v>45505</v>
      </c>
      <c r="B45" s="4" t="str">
        <f>TEXT(A45,"mmm/yyyy")</f>
        <v>ago/yyyy</v>
      </c>
      <c r="C45" s="11">
        <f>SUMIFS('Base de Dados'!$P$2:$P$1201,'Base de Dados'!$B$2:$B$1201,"&gt;="&amp;A45,'Base de Dados'!$B$2:$B$1201,"&lt;"&amp;D45)</f>
        <v>51104.15399999998</v>
      </c>
      <c r="D45" s="15">
        <v>45536</v>
      </c>
    </row>
    <row r="46" spans="1:4">
      <c r="A46" s="15">
        <v>45536</v>
      </c>
      <c r="B46" s="4" t="str">
        <f>TEXT(A46,"mmm/yyyy")</f>
        <v>set/yyyy</v>
      </c>
      <c r="C46" s="11">
        <f>SUMIFS('Base de Dados'!$P$2:$P$1201,'Base de Dados'!$B$2:$B$1201,"&gt;="&amp;A46,'Base de Dados'!$B$2:$B$1201,"&lt;"&amp;D46)</f>
        <v>53550.231</v>
      </c>
      <c r="D46" s="15">
        <v>45566</v>
      </c>
    </row>
    <row r="47" spans="1:4">
      <c r="A47" s="15">
        <v>45566</v>
      </c>
      <c r="B47" s="4" t="str">
        <f>TEXT(A47,"mmm/yyyy")</f>
        <v>out/yyyy</v>
      </c>
      <c r="C47" s="11">
        <f>SUMIFS('Base de Dados'!$P$2:$P$1201,'Base de Dados'!$B$2:$B$1201,"&gt;="&amp;A47,'Base de Dados'!$B$2:$B$1201,"&lt;"&amp;D47)</f>
        <v>47962.346999999994</v>
      </c>
      <c r="D47" s="15">
        <v>45597</v>
      </c>
    </row>
    <row r="48" spans="1:4">
      <c r="A48" s="15">
        <v>45597</v>
      </c>
      <c r="B48" s="4" t="str">
        <f>TEXT(A48,"mmm/yyyy")</f>
        <v>nov/yyyy</v>
      </c>
      <c r="C48" s="11">
        <f>SUMIFS('Base de Dados'!$P$2:$P$1201,'Base de Dados'!$B$2:$B$1201,"&gt;="&amp;A48,'Base de Dados'!$B$2:$B$1201,"&lt;"&amp;D48)</f>
        <v>49257.969999999987</v>
      </c>
      <c r="D48" s="15">
        <v>45627</v>
      </c>
    </row>
    <row r="49" spans="1:4">
      <c r="A49" s="15">
        <v>45627</v>
      </c>
      <c r="B49" s="4" t="str">
        <f>TEXT(A49,"mmm/yyyy")</f>
        <v>dez/yyyy</v>
      </c>
      <c r="C49" s="11">
        <f>SUMIFS('Base de Dados'!$P$2:$P$1201,'Base de Dados'!$B$2:$B$1201,"&gt;="&amp;A49,'Base de Dados'!$B$2:$B$1201,"&lt;"&amp;D49)</f>
        <v>43864.022000000004</v>
      </c>
      <c r="D49" s="15">
        <v>45658</v>
      </c>
    </row>
    <row r="50" spans="1:4">
      <c r="A50" s="15">
        <v>45658</v>
      </c>
      <c r="B50" s="4" t="str">
        <f>TEXT(A50,"mmm/yyyy")</f>
        <v>jan/yyyy</v>
      </c>
      <c r="C50" s="11">
        <f>SUMIFS('Base de Dados'!$P$2:$P$1201,'Base de Dados'!$B$2:$B$1201,"&gt;="&amp;A50,'Base de Dados'!$B$2:$B$1201,"&lt;"&amp;D50)</f>
        <v>46812.218999999997</v>
      </c>
      <c r="D50" s="15">
        <v>45689</v>
      </c>
    </row>
    <row r="51" spans="1:4">
      <c r="A51" s="15">
        <v>45689</v>
      </c>
      <c r="B51" s="4" t="str">
        <f>TEXT(A51,"mmm/yyyy")</f>
        <v>fev/yyyy</v>
      </c>
      <c r="C51" s="11">
        <f>SUMIFS('Base de Dados'!$P$2:$P$1201,'Base de Dados'!$B$2:$B$1201,"&gt;="&amp;A51,'Base de Dados'!$B$2:$B$1201,"&lt;"&amp;D51)</f>
        <v>57797.33400000001</v>
      </c>
      <c r="D51" s="15">
        <v>45717</v>
      </c>
    </row>
    <row r="52" spans="1:4">
      <c r="A52" s="15">
        <v>45717</v>
      </c>
      <c r="B52" s="4" t="str">
        <f>TEXT(A52,"mmm/yyyy")</f>
        <v>mar/yyyy</v>
      </c>
      <c r="C52" s="11">
        <f>SUMIFS('Base de Dados'!$P$2:$P$1201,'Base de Dados'!$B$2:$B$1201,"&gt;="&amp;A52,'Base de Dados'!$B$2:$B$1201,"&lt;"&amp;D52)</f>
        <v>42237.615999999973</v>
      </c>
      <c r="D52" s="15">
        <v>45748</v>
      </c>
    </row>
    <row r="53" spans="1:4">
      <c r="A53" s="15">
        <v>45748</v>
      </c>
      <c r="B53" s="4" t="str">
        <f>TEXT(A53,"mmm/yyyy")</f>
        <v>abr/yyyy</v>
      </c>
      <c r="C53" s="11">
        <f>SUMIFS('Base de Dados'!$P$2:$P$1201,'Base de Dados'!$B$2:$B$1201,"&gt;="&amp;A53,'Base de Dados'!$B$2:$B$1201,"&lt;"&amp;D53)</f>
        <v>50402.699000000015</v>
      </c>
      <c r="D53" s="15">
        <v>45778</v>
      </c>
    </row>
    <row r="54" spans="1:4">
      <c r="A54" s="15">
        <v>45778</v>
      </c>
      <c r="B54" s="4" t="str">
        <f>TEXT(A54,"mmm/yyyy")</f>
        <v>mai/yyyy</v>
      </c>
      <c r="C54" s="11">
        <f>SUMIFS('Base de Dados'!$P$2:$P$1201,'Base de Dados'!$B$2:$B$1201,"&gt;="&amp;A54,'Base de Dados'!$B$2:$B$1201,"&lt;"&amp;D54)</f>
        <v>40198.635999999991</v>
      </c>
      <c r="D54" s="15">
        <v>45809</v>
      </c>
    </row>
    <row r="55" spans="1:4">
      <c r="A55" s="15">
        <v>45809</v>
      </c>
      <c r="B55" s="4" t="str">
        <f>TEXT(A55,"mmm/yyyy")</f>
        <v>jun/yyyy</v>
      </c>
      <c r="C55" s="11">
        <f>SUMIFS('Base de Dados'!$P$2:$P$1201,'Base de Dados'!$B$2:$B$1201,"&gt;="&amp;A55,'Base de Dados'!$B$2:$B$1201,"&lt;"&amp;D55)</f>
        <v>42117.904999999992</v>
      </c>
      <c r="D55" s="15">
        <v>45839</v>
      </c>
    </row>
    <row r="56" spans="1:4">
      <c r="A56" s="15">
        <v>45839</v>
      </c>
      <c r="B56" s="4" t="str">
        <f>TEXT(A56,"mmm/yyyy")</f>
        <v>jul/yyyy</v>
      </c>
      <c r="C56" s="11">
        <f>SUMIFS('Base de Dados'!$P$2:$P$1201,'Base de Dados'!$B$2:$B$1201,"&gt;="&amp;A56,'Base de Dados'!$B$2:$B$1201,"&lt;"&amp;D56)</f>
        <v>66470.499000000025</v>
      </c>
      <c r="D56" s="15">
        <v>45870</v>
      </c>
    </row>
    <row r="57" spans="1:4">
      <c r="A57" s="15">
        <v>45870</v>
      </c>
      <c r="B57" s="4" t="str">
        <f>TEXT(A57,"mmm/yyyy")</f>
        <v>ago/yyyy</v>
      </c>
      <c r="C57" s="11">
        <f>SUMIFS('Base de Dados'!$P$2:$P$1201,'Base de Dados'!$B$2:$B$1201,"&gt;="&amp;A57,'Base de Dados'!$B$2:$B$1201,"&lt;"&amp;D57)</f>
        <v>52067.100000000006</v>
      </c>
      <c r="D57" s="15">
        <v>45901</v>
      </c>
    </row>
    <row r="58" spans="1:4">
      <c r="A58" s="15">
        <v>45901</v>
      </c>
      <c r="B58" s="4" t="str">
        <f>TEXT(A58,"mmm/yyyy")</f>
        <v>set/yyyy</v>
      </c>
      <c r="C58" s="11">
        <f>SUMIFS('Base de Dados'!$P$2:$P$1201,'Base de Dados'!$B$2:$B$1201,"&gt;="&amp;A58,'Base de Dados'!$B$2:$B$1201,"&lt;"&amp;D58)</f>
        <v>58893.262000000002</v>
      </c>
      <c r="D58" s="15">
        <v>45931</v>
      </c>
    </row>
    <row r="59" spans="1:4">
      <c r="A59" s="15">
        <v>45931</v>
      </c>
      <c r="B59" s="4" t="str">
        <f>TEXT(A59,"mmm/yyyy")</f>
        <v>out/yyyy</v>
      </c>
      <c r="C59" s="11">
        <f>SUMIFS('Base de Dados'!$P$2:$P$1201,'Base de Dados'!$B$2:$B$1201,"&gt;="&amp;A59,'Base de Dados'!$B$2:$B$1201,"&lt;"&amp;D59)</f>
        <v>51577.157999999996</v>
      </c>
      <c r="D59" s="15">
        <v>45962</v>
      </c>
    </row>
    <row r="60" spans="1:4">
      <c r="A60" s="15">
        <v>45962</v>
      </c>
      <c r="B60" s="4" t="str">
        <f>TEXT(A60,"mmm/yyyy")</f>
        <v>nov/yyyy</v>
      </c>
      <c r="C60" s="11">
        <f>SUMIFS('Base de Dados'!$P$2:$P$1201,'Base de Dados'!$B$2:$B$1201,"&gt;="&amp;A60,'Base de Dados'!$B$2:$B$1201,"&lt;"&amp;D60)</f>
        <v>47367.332999999999</v>
      </c>
      <c r="D60" s="15">
        <v>45992</v>
      </c>
    </row>
    <row r="61" spans="1:4">
      <c r="A61" s="15">
        <v>45992</v>
      </c>
      <c r="B61" s="4" t="str">
        <f>TEXT(A61,"mmm/yyyy")</f>
        <v>dez/yyyy</v>
      </c>
      <c r="C61" s="11">
        <f>SUMIFS('Base de Dados'!$P$2:$P$1201,'Base de Dados'!$B$2:$B$1201,"&gt;="&amp;A61,'Base de Dados'!$B$2:$B$1201,"&lt;"&amp;D61)</f>
        <v>37785.508000000009</v>
      </c>
      <c r="D61" s="15">
        <v>46023</v>
      </c>
    </row>
  </sheetData>
  <mergeCells count="6">
    <mergeCell ref="A2:C2"/>
    <mergeCell ref="A25:C25"/>
    <mergeCell ref="A31:C31"/>
    <mergeCell ref="A9:C9"/>
    <mergeCell ref="A18:C18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7C10"/>
  </sheetPr>
  <dimension ref="A1:L11"/>
  <sheetViews>
    <sheetView workbookViewId="0">
      <selection sqref="A1:L2"/>
    </sheetView>
  </sheetViews>
  <sheetFormatPr defaultRowHeight="15"/>
  <cols>
    <col min="1" max="11" width="16" customWidth="1"/>
    <col min="12" max="12" width="91.85546875" customWidth="1"/>
  </cols>
  <sheetData>
    <row r="1" spans="1:12" ht="18" customHeight="1">
      <c r="A1" s="22" t="s">
        <v>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>
      <c r="A4" s="21" t="s">
        <v>68</v>
      </c>
      <c r="B4" s="30"/>
      <c r="C4" s="30"/>
      <c r="D4" s="30"/>
      <c r="E4" s="21" t="s">
        <v>69</v>
      </c>
      <c r="F4" s="30"/>
      <c r="G4" s="30"/>
      <c r="H4" s="30"/>
      <c r="I4" s="21" t="s">
        <v>70</v>
      </c>
      <c r="J4" s="30"/>
      <c r="K4" s="30"/>
      <c r="L4" s="30"/>
    </row>
    <row r="5" spans="1:12">
      <c r="A5" s="24">
        <f>Cálculos!$B$7</f>
        <v>1155626.7739999993</v>
      </c>
      <c r="B5" s="30"/>
      <c r="C5" s="30"/>
      <c r="D5" s="30"/>
      <c r="E5" s="18">
        <f>SUM('Base de Dados'!$K$2:$K$1201)</f>
        <v>21915</v>
      </c>
      <c r="F5" s="30"/>
      <c r="G5" s="30"/>
      <c r="H5" s="30"/>
      <c r="I5" s="17">
        <f>SUM('Base de Dados'!$R$2:$R$1201)</f>
        <v>892646.77399999928</v>
      </c>
      <c r="J5" s="30"/>
      <c r="K5" s="30"/>
      <c r="L5" s="30"/>
    </row>
    <row r="6" spans="1:1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>
      <c r="A7" s="21" t="s">
        <v>71</v>
      </c>
      <c r="B7" s="30"/>
      <c r="C7" s="30"/>
      <c r="D7" s="30"/>
      <c r="E7" s="21" t="s">
        <v>72</v>
      </c>
      <c r="F7" s="30"/>
      <c r="G7" s="30"/>
      <c r="H7" s="30"/>
      <c r="I7" s="21" t="s">
        <v>73</v>
      </c>
      <c r="J7" s="30"/>
      <c r="K7" s="30"/>
      <c r="L7" s="30"/>
    </row>
    <row r="8" spans="1:12">
      <c r="A8" s="20">
        <f>IF(SUM('Base de Dados'!$K$2:$K$1201)=0,0,Cálculos!$B$7/SUM('Base de Dados'!$K$2:$K$1201))</f>
        <v>52.732227880447148</v>
      </c>
      <c r="B8" s="30"/>
      <c r="C8" s="30"/>
      <c r="D8" s="30"/>
      <c r="E8" s="20">
        <f>IF(COUNT('Base de Dados'!$A$2:$A$1201)=0,0,Cálculos!$B$7/COUNT('Base de Dados'!$A$2:$A$1201))</f>
        <v>963.02231166666604</v>
      </c>
      <c r="F8" s="30"/>
      <c r="G8" s="30"/>
      <c r="H8" s="30"/>
      <c r="I8" s="18">
        <f>IF(Cálculos!$B$7=0,0,SUM('Base de Dados'!$R$2:$R$1201)/Cálculos!$B$7)</f>
        <v>0.77243517897241087</v>
      </c>
      <c r="J8" s="30"/>
      <c r="K8" s="30"/>
      <c r="L8" s="30"/>
    </row>
    <row r="9" spans="1:12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>
      <c r="A10" s="19" t="s">
        <v>74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>
      <c r="A11" s="31" t="s">
        <v>75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</sheetData>
  <mergeCells count="15">
    <mergeCell ref="A4:D4"/>
    <mergeCell ref="A11:L11"/>
    <mergeCell ref="E4:H4"/>
    <mergeCell ref="A1:L2"/>
    <mergeCell ref="I4:L4"/>
    <mergeCell ref="A7:D7"/>
    <mergeCell ref="E7:H7"/>
    <mergeCell ref="I7:L7"/>
    <mergeCell ref="E5:H6"/>
    <mergeCell ref="I5:L6"/>
    <mergeCell ref="A5:D6"/>
    <mergeCell ref="I8:L9"/>
    <mergeCell ref="A10:L10"/>
    <mergeCell ref="A8:D9"/>
    <mergeCell ref="E8:H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1:A19"/>
  <sheetViews>
    <sheetView workbookViewId="0"/>
  </sheetViews>
  <sheetFormatPr defaultRowHeight="15"/>
  <cols>
    <col min="1" max="1" width="100" customWidth="1"/>
  </cols>
  <sheetData>
    <row r="1" spans="1:1">
      <c r="A1" s="32" t="s">
        <v>76</v>
      </c>
    </row>
    <row r="2" spans="1:1">
      <c r="A2" s="16"/>
    </row>
    <row r="3" spans="1:1">
      <c r="A3" s="16" t="s">
        <v>77</v>
      </c>
    </row>
    <row r="4" spans="1:1">
      <c r="A4" s="16" t="s">
        <v>78</v>
      </c>
    </row>
    <row r="5" spans="1:1">
      <c r="A5" s="16" t="s">
        <v>79</v>
      </c>
    </row>
    <row r="6" spans="1:1">
      <c r="A6" s="16"/>
    </row>
    <row r="7" spans="1:1">
      <c r="A7" s="16" t="s">
        <v>80</v>
      </c>
    </row>
    <row r="8" spans="1:1">
      <c r="A8" s="16" t="s">
        <v>81</v>
      </c>
    </row>
    <row r="9" spans="1:1">
      <c r="A9" s="16" t="s">
        <v>82</v>
      </c>
    </row>
    <row r="10" spans="1:1">
      <c r="A10" s="16"/>
    </row>
    <row r="11" spans="1:1">
      <c r="A11" s="16" t="s">
        <v>83</v>
      </c>
    </row>
    <row r="12" spans="1:1">
      <c r="A12" s="16" t="s">
        <v>84</v>
      </c>
    </row>
    <row r="13" spans="1:1">
      <c r="A13" s="16"/>
    </row>
    <row r="14" spans="1:1">
      <c r="A14" s="16" t="s">
        <v>85</v>
      </c>
    </row>
    <row r="15" spans="1:1">
      <c r="A15" s="16" t="s">
        <v>86</v>
      </c>
    </row>
    <row r="16" spans="1:1">
      <c r="A16" s="16" t="s">
        <v>87</v>
      </c>
    </row>
    <row r="17" spans="1:1">
      <c r="A17" s="16"/>
    </row>
    <row r="18" spans="1:1">
      <c r="A18" s="16" t="s">
        <v>88</v>
      </c>
    </row>
    <row r="19" spans="1:1">
      <c r="A19" s="16" t="s">
        <v>89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2026-08-23T19:51:25Z</dcterms:created>
  <dcterms:modified xsi:type="dcterms:W3CDTF">2026-08-23T20:29:50Z</dcterms:modified>
  <cp:category/>
  <cp:contentStatus/>
</cp:coreProperties>
</file>